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showObjects="none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alah_old\BISMILLAH\"/>
    </mc:Choice>
  </mc:AlternateContent>
  <bookViews>
    <workbookView xWindow="0" yWindow="0" windowWidth="23040" windowHeight="8496" tabRatio="850" activeTab="1"/>
  </bookViews>
  <sheets>
    <sheet name="集計表" sheetId="32" r:id="rId1"/>
    <sheet name="Oid" sheetId="31" r:id="rId2"/>
  </sheets>
  <functionGroups builtInGroupCount="18"/>
  <externalReferences>
    <externalReference r:id="rId3"/>
  </externalReferences>
  <definedNames>
    <definedName name="_xlnm._FilterDatabase" localSheetId="1" hidden="1">Oid!$A$3:$C$3</definedName>
    <definedName name="aaa" localSheetId="0" hidden="1">{"'目次'!$A$1:$F$13"}</definedName>
    <definedName name="aaa" hidden="1">{"'目次'!$A$1:$F$13"}</definedName>
    <definedName name="aaaa" localSheetId="0" hidden="1">{"'目次'!$A$1:$F$13"}</definedName>
    <definedName name="aaaa" hidden="1">{"'目次'!$A$1:$F$13"}</definedName>
    <definedName name="bbb" hidden="1">{"'目次'!$A$1:$F$13"}</definedName>
    <definedName name="Code">[1]Code!$B$5:$B$99</definedName>
    <definedName name="Group">[1]Group!$B$5:$B$21</definedName>
    <definedName name="HTML_Cntrol1" localSheetId="0" hidden="1">{"'目次'!$A$1:$F$13"}</definedName>
    <definedName name="HTML_Cntrol1" hidden="1">{"'目次'!$A$1:$F$13"}</definedName>
    <definedName name="HTML_CodePage" hidden="1">932</definedName>
    <definedName name="HTML_Control" localSheetId="0" hidden="1">{"'目次'!$A$1:$F$13"}</definedName>
    <definedName name="HTML_Control" hidden="1">{"'目次'!$A$1:$F$13"}</definedName>
    <definedName name="HTML_Control2" hidden="1">{"'目次'!$A$1:$F$13"}</definedName>
    <definedName name="HTML_Description" hidden="1">""</definedName>
    <definedName name="HTML_Email" hidden="1">""</definedName>
    <definedName name="HTML_Header" hidden="1">"目次"</definedName>
    <definedName name="HTML_LastUpdate" hidden="1">"01/04/18"</definedName>
    <definedName name="HTML_LineAfter" hidden="1">FALSE</definedName>
    <definedName name="HTML_LineBefore" hidden="1">FALSE</definedName>
    <definedName name="HTML_Name" hidden="1">"Nobutani.com"</definedName>
    <definedName name="HTML_OBDlg2" hidden="1">TRUE</definedName>
    <definedName name="HTML_OBDlg4" hidden="1">TRUE</definedName>
    <definedName name="HTML_OS" hidden="1">0</definedName>
    <definedName name="HTML_PathFile" hidden="1">"C:\My Documents\MyHTML.htm"</definedName>
    <definedName name="HTML_Title" hidden="1">"2001延谷G体制"</definedName>
    <definedName name="prtAlert2" localSheetId="0" hidden="1">{"'目次'!$A$1:$F$13"}</definedName>
    <definedName name="prtAlert2" hidden="1">{"'目次'!$A$1:$F$13"}</definedName>
    <definedName name="SeverityLevel">[1]SeverityLevel!$B$5:$B$8</definedName>
    <definedName name="TrainingLevel">[1]TrainingLevel!$B$5:$B$11</definedName>
  </definedNames>
  <calcPr calcId="162913"/>
  <customWorkbookViews>
    <customWorkbookView name="Shiraishi Kazuya - 個人用ビュー" guid="{177F89BF-221A-4A81-93FC-C7BB337A84BC}" mergeInterval="0" personalView="1" maximized="1" windowWidth="1902" windowHeight="706" tabRatio="872" activeSheetId="4"/>
    <customWorkbookView name="Fujimaki Atsushi - 個人用ビュー" guid="{55BFD490-E394-4C32-ADE1-E46AB3BE3376}" mergeInterval="0" personalView="1" maximized="1" windowWidth="1680" windowHeight="769" tabRatio="872" activeSheetId="5"/>
    <customWorkbookView name="Yamazaki Mitsuji - 個人用ビュー" guid="{7651F68C-A32A-430C-9DDF-5856B633BEE8}" mergeInterval="0" personalView="1" xWindow="124" yWindow="14" windowWidth="1940" windowHeight="994" tabRatio="889" activeSheetId="5"/>
    <customWorkbookView name="Kobayashi Yu - 個人用ビュー" guid="{99D4CEE7-5859-4FD1-BCCC-72C601F755F5}" mergeInterval="0" personalView="1" maximized="1" windowWidth="1920" windowHeight="798" tabRatio="88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13" i="32" l="1"/>
  <c r="O196" i="32"/>
  <c r="O228" i="32"/>
  <c r="O20" i="32"/>
  <c r="O148" i="32"/>
  <c r="O23" i="32"/>
  <c r="O73" i="32"/>
  <c r="O192" i="32"/>
  <c r="O39" i="32"/>
  <c r="O130" i="32"/>
  <c r="O186" i="32"/>
  <c r="O109" i="32"/>
  <c r="O140" i="32"/>
  <c r="O89" i="32"/>
  <c r="O36" i="32"/>
  <c r="O99" i="32"/>
  <c r="O30" i="32"/>
  <c r="O42" i="32"/>
  <c r="O61" i="32"/>
  <c r="O47" i="32"/>
  <c r="O230" i="32"/>
  <c r="O157" i="32"/>
  <c r="O87" i="32"/>
  <c r="O169" i="32"/>
  <c r="O204" i="32"/>
  <c r="O211" i="32"/>
  <c r="O100" i="32"/>
  <c r="O240" i="32"/>
  <c r="O40" i="32"/>
  <c r="O83" i="32"/>
  <c r="O22" i="32"/>
  <c r="O11" i="32"/>
  <c r="O31" i="32"/>
  <c r="O268" i="32"/>
  <c r="O206" i="32"/>
  <c r="O274" i="32"/>
  <c r="O117" i="32"/>
  <c r="O53" i="32"/>
  <c r="O225" i="32"/>
  <c r="O288" i="32"/>
  <c r="O129" i="32"/>
  <c r="O235" i="32"/>
  <c r="O197" i="32"/>
  <c r="O271" i="32"/>
  <c r="O41" i="32"/>
  <c r="O272" i="32"/>
  <c r="O203" i="32"/>
  <c r="O60" i="32"/>
  <c r="O273" i="32"/>
  <c r="O193" i="32"/>
  <c r="O137" i="32"/>
  <c r="O253" i="32"/>
  <c r="O282" i="32"/>
  <c r="O188" i="32"/>
  <c r="O142" i="32"/>
  <c r="O123" i="32"/>
  <c r="O96" i="32"/>
  <c r="O6" i="32"/>
  <c r="O35" i="32"/>
  <c r="O201" i="32"/>
  <c r="O221" i="32"/>
  <c r="O107" i="32"/>
  <c r="O215" i="32"/>
  <c r="O85" i="32"/>
  <c r="O44" i="32"/>
  <c r="O59" i="32"/>
  <c r="O172" i="32"/>
  <c r="O217" i="32"/>
  <c r="O25" i="32"/>
  <c r="O233" i="32"/>
  <c r="O284" i="32"/>
  <c r="O170" i="32"/>
  <c r="O132" i="32"/>
  <c r="O293" i="32"/>
  <c r="O128" i="32"/>
  <c r="O159" i="32"/>
  <c r="O57" i="32"/>
  <c r="O279" i="32"/>
  <c r="O256" i="32"/>
  <c r="O80" i="32"/>
  <c r="O174" i="32"/>
  <c r="O92" i="32"/>
  <c r="O167" i="32"/>
  <c r="O108" i="32"/>
  <c r="O238" i="32"/>
  <c r="O9" i="32"/>
  <c r="O184" i="32"/>
  <c r="O90" i="32"/>
  <c r="O19" i="32"/>
  <c r="O106" i="32"/>
  <c r="O161" i="32"/>
  <c r="O224" i="32"/>
  <c r="O149" i="32"/>
  <c r="O103" i="32"/>
  <c r="O262" i="32"/>
  <c r="O185" i="32"/>
  <c r="O58" i="32"/>
  <c r="O97" i="32"/>
  <c r="O153" i="32"/>
  <c r="O207" i="32"/>
  <c r="O286" i="32"/>
  <c r="O152" i="32"/>
  <c r="O258" i="32"/>
  <c r="O118" i="32"/>
  <c r="O33" i="32"/>
  <c r="O21" i="32"/>
  <c r="O220" i="32"/>
  <c r="O236" i="32"/>
  <c r="O249" i="32"/>
  <c r="O144" i="32"/>
  <c r="O246" i="32"/>
  <c r="O146" i="32"/>
  <c r="O143" i="32"/>
  <c r="O15" i="32"/>
  <c r="O54" i="32"/>
  <c r="O218" i="32"/>
  <c r="O176" i="32"/>
  <c r="O269" i="32"/>
  <c r="O37" i="32"/>
  <c r="O110" i="32"/>
  <c r="O72" i="32"/>
  <c r="O182" i="32"/>
  <c r="O255" i="32"/>
  <c r="O226" i="32"/>
  <c r="O166" i="32"/>
  <c r="O14" i="32"/>
  <c r="O263" i="32"/>
  <c r="O55" i="32"/>
  <c r="O168" i="32"/>
  <c r="O264" i="32"/>
  <c r="O74" i="32"/>
  <c r="O104" i="32"/>
  <c r="O175" i="32"/>
  <c r="O111" i="32"/>
  <c r="O66" i="32"/>
  <c r="O119" i="32"/>
  <c r="O202" i="32"/>
  <c r="O93" i="32"/>
  <c r="O227" i="32"/>
  <c r="O70" i="32"/>
  <c r="O276" i="32"/>
  <c r="O67" i="32"/>
  <c r="O243" i="32"/>
  <c r="O84" i="32"/>
  <c r="O127" i="32"/>
  <c r="O134" i="32"/>
  <c r="O164" i="32"/>
  <c r="O198" i="32"/>
  <c r="O212" i="32"/>
  <c r="O232" i="32"/>
  <c r="O138" i="32"/>
  <c r="O136" i="32"/>
  <c r="O260" i="32"/>
  <c r="O270" i="32"/>
  <c r="O195" i="32"/>
  <c r="O105" i="32"/>
  <c r="O156" i="32"/>
  <c r="O171" i="32"/>
  <c r="O78" i="32"/>
  <c r="O287" i="32"/>
  <c r="O131" i="32"/>
  <c r="O209" i="32"/>
  <c r="O88" i="32"/>
  <c r="O199" i="32"/>
  <c r="O7" i="32"/>
  <c r="O214" i="32"/>
  <c r="O200" i="32"/>
  <c r="O245" i="32"/>
  <c r="O285" i="32"/>
  <c r="O239" i="32"/>
  <c r="O112" i="32"/>
  <c r="O205" i="32"/>
  <c r="O75" i="32"/>
  <c r="O29" i="32"/>
  <c r="O63" i="32"/>
  <c r="O158" i="32"/>
  <c r="O51" i="32"/>
  <c r="O248" i="32"/>
  <c r="O177" i="32"/>
  <c r="O122" i="32"/>
  <c r="O24" i="32"/>
  <c r="O56" i="32"/>
  <c r="O120" i="32"/>
  <c r="O234" i="32"/>
  <c r="O254" i="32"/>
  <c r="O18" i="32"/>
  <c r="O34" i="32"/>
  <c r="O50" i="32"/>
  <c r="O244" i="32"/>
  <c r="O135" i="32"/>
  <c r="O145" i="32"/>
  <c r="O126" i="32"/>
  <c r="O183" i="32"/>
  <c r="O115" i="32"/>
  <c r="O259" i="32"/>
  <c r="O16" i="32"/>
  <c r="O52" i="32"/>
  <c r="O150" i="32"/>
  <c r="O79" i="32"/>
  <c r="O49" i="32"/>
  <c r="O266" i="32"/>
  <c r="O242" i="32"/>
  <c r="O76" i="32"/>
  <c r="O191" i="32"/>
  <c r="O283" i="32"/>
  <c r="O95" i="32"/>
  <c r="O8" i="32"/>
  <c r="O165" i="32"/>
  <c r="O32" i="32"/>
  <c r="O281" i="32"/>
  <c r="O26" i="32"/>
  <c r="O94" i="32"/>
  <c r="O267" i="32"/>
  <c r="O261" i="32"/>
  <c r="O194" i="32"/>
  <c r="O229" i="32"/>
  <c r="O190" i="32"/>
  <c r="O13" i="32"/>
  <c r="O154" i="32"/>
  <c r="O231" i="32"/>
  <c r="O116" i="32"/>
  <c r="O251" i="32"/>
  <c r="O265" i="32"/>
  <c r="O133" i="32"/>
  <c r="O125" i="32"/>
  <c r="O189" i="32"/>
  <c r="O38" i="32"/>
  <c r="O102" i="32"/>
  <c r="O181" i="32"/>
  <c r="O292" i="32"/>
  <c r="O219" i="32"/>
  <c r="O113" i="32"/>
  <c r="O237" i="32"/>
  <c r="O121" i="32"/>
  <c r="O223" i="32"/>
  <c r="O241" i="32"/>
  <c r="O179" i="32"/>
  <c r="O187" i="32"/>
  <c r="O86" i="32"/>
  <c r="O210" i="32"/>
  <c r="O178" i="32"/>
  <c r="O280" i="32"/>
  <c r="O69" i="32"/>
  <c r="O64" i="32"/>
  <c r="O65" i="32"/>
  <c r="O208" i="32"/>
  <c r="O257" i="32"/>
  <c r="O155" i="32"/>
  <c r="O45" i="32"/>
  <c r="O114" i="32"/>
  <c r="O48" i="32"/>
  <c r="O173" i="32"/>
  <c r="O277" i="32"/>
  <c r="O216" i="32"/>
  <c r="O147" i="32"/>
  <c r="O141" i="32"/>
  <c r="O250" i="32"/>
  <c r="O101" i="32"/>
  <c r="O163" i="32"/>
  <c r="O43" i="32"/>
  <c r="O124" i="32"/>
  <c r="O77" i="32"/>
  <c r="O68" i="32"/>
  <c r="O82" i="32"/>
  <c r="O46" i="32"/>
  <c r="O289" i="32"/>
  <c r="O162" i="32"/>
  <c r="O71" i="32"/>
  <c r="O247" i="32"/>
  <c r="O151" i="32"/>
  <c r="O275" i="32"/>
  <c r="O81" i="32"/>
  <c r="O17" i="32"/>
  <c r="O252" i="32"/>
  <c r="O10" i="32"/>
  <c r="O139" i="32"/>
  <c r="O91" i="32"/>
  <c r="O160" i="32"/>
  <c r="O62" i="32"/>
  <c r="O12" i="32"/>
  <c r="O28" i="32"/>
  <c r="O27" i="32"/>
  <c r="O222" i="32"/>
  <c r="O290" i="32"/>
  <c r="O180" i="32"/>
  <c r="O278" i="32"/>
  <c r="O291" i="32"/>
  <c r="O98" i="32"/>
  <c r="P98" i="32" l="1"/>
  <c r="P12" i="32"/>
  <c r="P81" i="32"/>
  <c r="P82" i="32"/>
  <c r="P141" i="32"/>
  <c r="P155" i="32"/>
  <c r="P210" i="32"/>
  <c r="P113" i="32"/>
  <c r="P133" i="32"/>
  <c r="P229" i="32"/>
  <c r="P165" i="32"/>
  <c r="P49" i="32"/>
  <c r="P126" i="32"/>
  <c r="P234" i="32"/>
  <c r="P158" i="32"/>
  <c r="P245" i="32"/>
  <c r="P287" i="32"/>
  <c r="P136" i="32"/>
  <c r="P84" i="32"/>
  <c r="P119" i="32"/>
  <c r="P55" i="32"/>
  <c r="P110" i="32"/>
  <c r="P146" i="32"/>
  <c r="P118" i="32"/>
  <c r="P185" i="32"/>
  <c r="P90" i="32"/>
  <c r="P80" i="32"/>
  <c r="P170" i="32"/>
  <c r="P85" i="32"/>
  <c r="P123" i="32"/>
  <c r="P60" i="32"/>
  <c r="P288" i="32"/>
  <c r="P11" i="32"/>
  <c r="P169" i="32"/>
  <c r="P99" i="32"/>
  <c r="P192" i="32"/>
  <c r="P291" i="32"/>
  <c r="P62" i="32"/>
  <c r="P275" i="32"/>
  <c r="P68" i="32"/>
  <c r="P147" i="32"/>
  <c r="P257" i="32"/>
  <c r="P86" i="32"/>
  <c r="P219" i="32"/>
  <c r="P265" i="32"/>
  <c r="P194" i="32"/>
  <c r="P8" i="32"/>
  <c r="P79" i="32"/>
  <c r="P145" i="32"/>
  <c r="P120" i="32"/>
  <c r="P63" i="32"/>
  <c r="P200" i="32"/>
  <c r="P78" i="32"/>
  <c r="P138" i="32"/>
  <c r="P243" i="32"/>
  <c r="P66" i="32"/>
  <c r="P263" i="32"/>
  <c r="P37" i="32"/>
  <c r="P246" i="32"/>
  <c r="P258" i="32"/>
  <c r="P262" i="32"/>
  <c r="P184" i="32"/>
  <c r="P256" i="32"/>
  <c r="P284" i="32"/>
  <c r="P215" i="32"/>
  <c r="P142" i="32"/>
  <c r="P203" i="32"/>
  <c r="P225" i="32"/>
  <c r="P278" i="32"/>
  <c r="P160" i="32"/>
  <c r="P151" i="32"/>
  <c r="P77" i="32"/>
  <c r="P216" i="32"/>
  <c r="P208" i="32"/>
  <c r="P187" i="32"/>
  <c r="P292" i="32"/>
  <c r="P251" i="32"/>
  <c r="P261" i="32"/>
  <c r="P95" i="32"/>
  <c r="P150" i="32"/>
  <c r="P135" i="32"/>
  <c r="P56" i="32"/>
  <c r="P29" i="32"/>
  <c r="P214" i="32"/>
  <c r="P171" i="32"/>
  <c r="P232" i="32"/>
  <c r="P67" i="32"/>
  <c r="P111" i="32"/>
  <c r="P14" i="32"/>
  <c r="P269" i="32"/>
  <c r="P144" i="32"/>
  <c r="P152" i="32"/>
  <c r="P103" i="32"/>
  <c r="P9" i="32"/>
  <c r="P279" i="32"/>
  <c r="P233" i="32"/>
  <c r="P107" i="32"/>
  <c r="P188" i="32"/>
  <c r="P272" i="32"/>
  <c r="P53" i="32"/>
  <c r="P83" i="32"/>
  <c r="P180" i="32"/>
  <c r="P91" i="32"/>
  <c r="P247" i="32"/>
  <c r="P124" i="32"/>
  <c r="P277" i="32"/>
  <c r="P65" i="32"/>
  <c r="P179" i="32"/>
  <c r="P181" i="32"/>
  <c r="P116" i="32"/>
  <c r="P267" i="32"/>
  <c r="P283" i="32"/>
  <c r="P52" i="32"/>
  <c r="P244" i="32"/>
  <c r="P24" i="32"/>
  <c r="P75" i="32"/>
  <c r="P7" i="32"/>
  <c r="P156" i="32"/>
  <c r="P212" i="32"/>
  <c r="P276" i="32"/>
  <c r="P175" i="32"/>
  <c r="P166" i="32"/>
  <c r="P176" i="32"/>
  <c r="P249" i="32"/>
  <c r="P286" i="32"/>
  <c r="P149" i="32"/>
  <c r="P238" i="32"/>
  <c r="P57" i="32"/>
  <c r="P25" i="32"/>
  <c r="P221" i="32"/>
  <c r="P282" i="32"/>
  <c r="P41" i="32"/>
  <c r="P117" i="32"/>
  <c r="P40" i="32"/>
  <c r="P230" i="32"/>
  <c r="P140" i="32"/>
  <c r="P148" i="32"/>
  <c r="P290" i="32"/>
  <c r="P139" i="32"/>
  <c r="P71" i="32"/>
  <c r="P43" i="32"/>
  <c r="P173" i="32"/>
  <c r="P64" i="32"/>
  <c r="P241" i="32"/>
  <c r="P102" i="32"/>
  <c r="P231" i="32"/>
  <c r="P94" i="32"/>
  <c r="P191" i="32"/>
  <c r="P16" i="32"/>
  <c r="P50" i="32"/>
  <c r="P122" i="32"/>
  <c r="P205" i="32"/>
  <c r="P199" i="32"/>
  <c r="P105" i="32"/>
  <c r="P198" i="32"/>
  <c r="P70" i="32"/>
  <c r="P104" i="32"/>
  <c r="P226" i="32"/>
  <c r="P218" i="32"/>
  <c r="P236" i="32"/>
  <c r="P207" i="32"/>
  <c r="P224" i="32"/>
  <c r="P108" i="32"/>
  <c r="P159" i="32"/>
  <c r="P217" i="32"/>
  <c r="P201" i="32"/>
  <c r="P253" i="32"/>
  <c r="P271" i="32"/>
  <c r="P274" i="32"/>
  <c r="P240" i="32"/>
  <c r="P47" i="32"/>
  <c r="P222" i="32"/>
  <c r="P10" i="32"/>
  <c r="P162" i="32"/>
  <c r="P163" i="32"/>
  <c r="P48" i="32"/>
  <c r="P69" i="32"/>
  <c r="P223" i="32"/>
  <c r="P38" i="32"/>
  <c r="P154" i="32"/>
  <c r="P26" i="32"/>
  <c r="P76" i="32"/>
  <c r="P259" i="32"/>
  <c r="P34" i="32"/>
  <c r="P177" i="32"/>
  <c r="P112" i="32"/>
  <c r="P88" i="32"/>
  <c r="P195" i="32"/>
  <c r="P164" i="32"/>
  <c r="P227" i="32"/>
  <c r="P74" i="32"/>
  <c r="P255" i="32"/>
  <c r="P54" i="32"/>
  <c r="P220" i="32"/>
  <c r="P153" i="32"/>
  <c r="P161" i="32"/>
  <c r="P167" i="32"/>
  <c r="P128" i="32"/>
  <c r="P172" i="32"/>
  <c r="P35" i="32"/>
  <c r="P137" i="32"/>
  <c r="P197" i="32"/>
  <c r="P27" i="32"/>
  <c r="P252" i="32"/>
  <c r="P289" i="32"/>
  <c r="P101" i="32"/>
  <c r="P114" i="32"/>
  <c r="P280" i="32"/>
  <c r="P121" i="32"/>
  <c r="P189" i="32"/>
  <c r="P13" i="32"/>
  <c r="P281" i="32"/>
  <c r="P242" i="32"/>
  <c r="P115" i="32"/>
  <c r="P18" i="32"/>
  <c r="P248" i="32"/>
  <c r="P239" i="32"/>
  <c r="P209" i="32"/>
  <c r="P270" i="32"/>
  <c r="P134" i="32"/>
  <c r="P93" i="32"/>
  <c r="P264" i="32"/>
  <c r="P182" i="32"/>
  <c r="P15" i="32"/>
  <c r="P21" i="32"/>
  <c r="P97" i="32"/>
  <c r="P106" i="32"/>
  <c r="P92" i="32"/>
  <c r="P293" i="32"/>
  <c r="P59" i="32"/>
  <c r="P6" i="32"/>
  <c r="P193" i="32"/>
  <c r="P235" i="32"/>
  <c r="P268" i="32"/>
  <c r="P211" i="32"/>
  <c r="P42" i="32"/>
  <c r="P130" i="32"/>
  <c r="P196" i="32"/>
  <c r="P28" i="32"/>
  <c r="P17" i="32"/>
  <c r="P46" i="32"/>
  <c r="P250" i="32"/>
  <c r="P45" i="32"/>
  <c r="P178" i="32"/>
  <c r="P237" i="32"/>
  <c r="P125" i="32"/>
  <c r="P190" i="32"/>
  <c r="P32" i="32"/>
  <c r="P266" i="32"/>
  <c r="P183" i="32"/>
  <c r="P254" i="32"/>
  <c r="P51" i="32"/>
  <c r="P285" i="32"/>
  <c r="P131" i="32"/>
  <c r="P260" i="32"/>
  <c r="P127" i="32"/>
  <c r="P202" i="32"/>
  <c r="P168" i="32"/>
  <c r="P72" i="32"/>
  <c r="P143" i="32"/>
  <c r="P33" i="32"/>
  <c r="P58" i="32"/>
  <c r="P19" i="32"/>
  <c r="P174" i="32"/>
  <c r="P132" i="32"/>
  <c r="P44" i="32"/>
  <c r="P96" i="32"/>
  <c r="P273" i="32"/>
  <c r="P129" i="32"/>
  <c r="P31" i="32"/>
  <c r="P204" i="32"/>
  <c r="P30" i="32"/>
  <c r="P39" i="32"/>
  <c r="P213" i="32"/>
  <c r="P206" i="32"/>
  <c r="P109" i="32"/>
  <c r="P100" i="32"/>
  <c r="P22" i="32"/>
  <c r="P186" i="32"/>
  <c r="P73" i="32"/>
  <c r="P87" i="32"/>
  <c r="P23" i="32"/>
  <c r="P157" i="32"/>
  <c r="P20" i="32"/>
  <c r="P61" i="32"/>
  <c r="P228" i="32"/>
  <c r="P89" i="32"/>
  <c r="P36" i="32"/>
  <c r="K36" i="32" l="1"/>
  <c r="L36" i="32" s="1"/>
  <c r="N36" i="32"/>
  <c r="M36" i="32"/>
  <c r="N89" i="32"/>
  <c r="K89" i="32"/>
  <c r="M89" i="32"/>
  <c r="N228" i="32"/>
  <c r="K228" i="32"/>
  <c r="M228" i="32"/>
  <c r="N61" i="32"/>
  <c r="M61" i="32"/>
  <c r="K61" i="32"/>
  <c r="N20" i="32"/>
  <c r="M20" i="32"/>
  <c r="K20" i="32"/>
  <c r="M157" i="32"/>
  <c r="N157" i="32"/>
  <c r="K157" i="32"/>
  <c r="K23" i="32"/>
  <c r="M23" i="32"/>
  <c r="N23" i="32"/>
  <c r="K87" i="32"/>
  <c r="M87" i="32"/>
  <c r="N87" i="32"/>
  <c r="K73" i="32"/>
  <c r="M73" i="32"/>
  <c r="N73" i="32"/>
  <c r="K186" i="32"/>
  <c r="N186" i="32"/>
  <c r="M186" i="32"/>
  <c r="N22" i="32"/>
  <c r="M22" i="32"/>
  <c r="K22" i="32"/>
  <c r="M100" i="32"/>
  <c r="K100" i="32"/>
  <c r="N100" i="32"/>
  <c r="K109" i="32"/>
  <c r="N109" i="32"/>
  <c r="M109" i="32"/>
  <c r="K206" i="32"/>
  <c r="N206" i="32"/>
  <c r="M206" i="32"/>
  <c r="N213" i="32"/>
  <c r="M213" i="32"/>
  <c r="K213" i="32"/>
  <c r="K39" i="32"/>
  <c r="N39" i="32"/>
  <c r="M39" i="32"/>
  <c r="N30" i="32"/>
  <c r="K30" i="32"/>
  <c r="M30" i="32"/>
  <c r="K204" i="32"/>
  <c r="N204" i="32"/>
  <c r="M204" i="32"/>
  <c r="K31" i="32"/>
  <c r="N31" i="32"/>
  <c r="M31" i="32"/>
  <c r="K129" i="32"/>
  <c r="M129" i="32"/>
  <c r="N129" i="32"/>
  <c r="N273" i="32"/>
  <c r="M273" i="32"/>
  <c r="K273" i="32"/>
  <c r="M96" i="32"/>
  <c r="N96" i="32"/>
  <c r="K96" i="32"/>
  <c r="M44" i="32"/>
  <c r="K44" i="32"/>
  <c r="N44" i="32"/>
  <c r="K132" i="32"/>
  <c r="N132" i="32"/>
  <c r="M132" i="32"/>
  <c r="K174" i="32"/>
  <c r="M174" i="32"/>
  <c r="N174" i="32"/>
  <c r="N19" i="32"/>
  <c r="M19" i="32"/>
  <c r="K19" i="32"/>
  <c r="M58" i="32"/>
  <c r="N58" i="32"/>
  <c r="K58" i="32"/>
  <c r="K33" i="32"/>
  <c r="M33" i="32"/>
  <c r="N33" i="32"/>
  <c r="K143" i="32"/>
  <c r="N143" i="32"/>
  <c r="M143" i="32"/>
  <c r="K72" i="32"/>
  <c r="M72" i="32"/>
  <c r="N72" i="32"/>
  <c r="K168" i="32"/>
  <c r="N168" i="32"/>
  <c r="M168" i="32"/>
  <c r="N202" i="32"/>
  <c r="K202" i="32"/>
  <c r="M202" i="32"/>
  <c r="N127" i="32"/>
  <c r="K127" i="32"/>
  <c r="M127" i="32"/>
  <c r="K260" i="32"/>
  <c r="N260" i="32"/>
  <c r="M260" i="32"/>
  <c r="M131" i="32"/>
  <c r="N131" i="32"/>
  <c r="K131" i="32"/>
  <c r="K285" i="32"/>
  <c r="M285" i="32"/>
  <c r="N285" i="32"/>
  <c r="M51" i="32"/>
  <c r="N51" i="32"/>
  <c r="K51" i="32"/>
  <c r="K254" i="32"/>
  <c r="N254" i="32"/>
  <c r="M254" i="32"/>
  <c r="M183" i="32"/>
  <c r="N183" i="32"/>
  <c r="K183" i="32"/>
  <c r="N266" i="32"/>
  <c r="K266" i="32"/>
  <c r="M266" i="32"/>
  <c r="K32" i="32"/>
  <c r="N32" i="32"/>
  <c r="M32" i="32"/>
  <c r="K190" i="32"/>
  <c r="N190" i="32"/>
  <c r="M190" i="32"/>
  <c r="K125" i="32"/>
  <c r="M125" i="32"/>
  <c r="N125" i="32"/>
  <c r="N237" i="32"/>
  <c r="K237" i="32"/>
  <c r="M237" i="32"/>
  <c r="N178" i="32"/>
  <c r="K178" i="32"/>
  <c r="M178" i="32"/>
  <c r="K45" i="32"/>
  <c r="M45" i="32"/>
  <c r="N45" i="32"/>
  <c r="K250" i="32"/>
  <c r="N250" i="32"/>
  <c r="M250" i="32"/>
  <c r="M46" i="32"/>
  <c r="K46" i="32"/>
  <c r="N46" i="32"/>
  <c r="N17" i="32"/>
  <c r="M17" i="32"/>
  <c r="K17" i="32"/>
  <c r="N28" i="32"/>
  <c r="K28" i="32"/>
  <c r="M28" i="32"/>
  <c r="N196" i="32"/>
  <c r="M196" i="32"/>
  <c r="K196" i="32"/>
  <c r="L196" i="32" s="1"/>
  <c r="N130" i="32"/>
  <c r="M130" i="32"/>
  <c r="K130" i="32"/>
  <c r="M42" i="32"/>
  <c r="K42" i="32"/>
  <c r="N42" i="32"/>
  <c r="K211" i="32"/>
  <c r="M211" i="32"/>
  <c r="N211" i="32"/>
  <c r="N268" i="32"/>
  <c r="K268" i="32"/>
  <c r="M268" i="32"/>
  <c r="K235" i="32"/>
  <c r="N235" i="32"/>
  <c r="M235" i="32"/>
  <c r="K193" i="32"/>
  <c r="L193" i="32" s="1"/>
  <c r="N193" i="32"/>
  <c r="M193" i="32"/>
  <c r="N6" i="32"/>
  <c r="M6" i="32"/>
  <c r="K6" i="32"/>
  <c r="N59" i="32"/>
  <c r="K59" i="32"/>
  <c r="M59" i="32"/>
  <c r="N293" i="32"/>
  <c r="M293" i="32"/>
  <c r="K293" i="32"/>
  <c r="N92" i="32"/>
  <c r="M92" i="32"/>
  <c r="K92" i="32"/>
  <c r="N106" i="32"/>
  <c r="M106" i="32"/>
  <c r="K106" i="32"/>
  <c r="M97" i="32"/>
  <c r="N97" i="32"/>
  <c r="K97" i="32"/>
  <c r="K21" i="32"/>
  <c r="N21" i="32"/>
  <c r="M21" i="32"/>
  <c r="K15" i="32"/>
  <c r="N15" i="32"/>
  <c r="M15" i="32"/>
  <c r="K182" i="32"/>
  <c r="N182" i="32"/>
  <c r="M182" i="32"/>
  <c r="K264" i="32"/>
  <c r="N264" i="32"/>
  <c r="M264" i="32"/>
  <c r="M93" i="32"/>
  <c r="N93" i="32"/>
  <c r="K93" i="32"/>
  <c r="N134" i="32"/>
  <c r="K134" i="32"/>
  <c r="M134" i="32"/>
  <c r="K270" i="32"/>
  <c r="M270" i="32"/>
  <c r="N270" i="32"/>
  <c r="N209" i="32"/>
  <c r="M209" i="32"/>
  <c r="K209" i="32"/>
  <c r="N239" i="32"/>
  <c r="K239" i="32"/>
  <c r="M239" i="32"/>
  <c r="N248" i="32"/>
  <c r="K248" i="32"/>
  <c r="M248" i="32"/>
  <c r="K18" i="32"/>
  <c r="N18" i="32"/>
  <c r="M18" i="32"/>
  <c r="K115" i="32"/>
  <c r="M115" i="32"/>
  <c r="N115" i="32"/>
  <c r="K242" i="32"/>
  <c r="N242" i="32"/>
  <c r="M242" i="32"/>
  <c r="M281" i="32"/>
  <c r="K281" i="32"/>
  <c r="N281" i="32"/>
  <c r="N13" i="32"/>
  <c r="M13" i="32"/>
  <c r="K13" i="32"/>
  <c r="K189" i="32"/>
  <c r="M189" i="32"/>
  <c r="N189" i="32"/>
  <c r="M121" i="32"/>
  <c r="N121" i="32"/>
  <c r="K121" i="32"/>
  <c r="M280" i="32"/>
  <c r="N280" i="32"/>
  <c r="K280" i="32"/>
  <c r="K114" i="32"/>
  <c r="N114" i="32"/>
  <c r="M114" i="32"/>
  <c r="K101" i="32"/>
  <c r="N101" i="32"/>
  <c r="M101" i="32"/>
  <c r="N289" i="32"/>
  <c r="K289" i="32"/>
  <c r="M289" i="32"/>
  <c r="N252" i="32"/>
  <c r="M252" i="32"/>
  <c r="K252" i="32"/>
  <c r="M27" i="32"/>
  <c r="N27" i="32"/>
  <c r="K27" i="32"/>
  <c r="N197" i="32"/>
  <c r="K197" i="32"/>
  <c r="L197" i="32" s="1"/>
  <c r="M197" i="32"/>
  <c r="M137" i="32"/>
  <c r="N137" i="32"/>
  <c r="K137" i="32"/>
  <c r="K35" i="32"/>
  <c r="L35" i="32" s="1"/>
  <c r="M35" i="32"/>
  <c r="N35" i="32"/>
  <c r="N172" i="32"/>
  <c r="M172" i="32"/>
  <c r="K172" i="32"/>
  <c r="M128" i="32"/>
  <c r="N128" i="32"/>
  <c r="K128" i="32"/>
  <c r="K167" i="32"/>
  <c r="N167" i="32"/>
  <c r="M167" i="32"/>
  <c r="M161" i="32"/>
  <c r="N161" i="32"/>
  <c r="K161" i="32"/>
  <c r="N153" i="32"/>
  <c r="M153" i="32"/>
  <c r="K153" i="32"/>
  <c r="M220" i="32"/>
  <c r="N220" i="32"/>
  <c r="K220" i="32"/>
  <c r="N54" i="32"/>
  <c r="K54" i="32"/>
  <c r="M54" i="32"/>
  <c r="M255" i="32"/>
  <c r="N255" i="32"/>
  <c r="K255" i="32"/>
  <c r="K74" i="32"/>
  <c r="M74" i="32"/>
  <c r="N74" i="32"/>
  <c r="K227" i="32"/>
  <c r="M227" i="32"/>
  <c r="N227" i="32"/>
  <c r="K164" i="32"/>
  <c r="N164" i="32"/>
  <c r="M164" i="32"/>
  <c r="N195" i="32"/>
  <c r="M195" i="32"/>
  <c r="K195" i="32"/>
  <c r="L195" i="32" s="1"/>
  <c r="K88" i="32"/>
  <c r="M88" i="32"/>
  <c r="N88" i="32"/>
  <c r="N112" i="32"/>
  <c r="K112" i="32"/>
  <c r="M112" i="32"/>
  <c r="K177" i="32"/>
  <c r="N177" i="32"/>
  <c r="M177" i="32"/>
  <c r="M34" i="32"/>
  <c r="N34" i="32"/>
  <c r="K34" i="32"/>
  <c r="N259" i="32"/>
  <c r="M259" i="32"/>
  <c r="K259" i="32"/>
  <c r="K76" i="32"/>
  <c r="N76" i="32"/>
  <c r="M76" i="32"/>
  <c r="K26" i="32"/>
  <c r="N26" i="32"/>
  <c r="M26" i="32"/>
  <c r="N154" i="32"/>
  <c r="K154" i="32"/>
  <c r="M154" i="32"/>
  <c r="N38" i="32"/>
  <c r="M38" i="32"/>
  <c r="K38" i="32"/>
  <c r="L38" i="32" s="1"/>
  <c r="N223" i="32"/>
  <c r="K223" i="32"/>
  <c r="M223" i="32"/>
  <c r="K69" i="32"/>
  <c r="M69" i="32"/>
  <c r="N69" i="32"/>
  <c r="N48" i="32"/>
  <c r="K48" i="32"/>
  <c r="M48" i="32"/>
  <c r="M163" i="32"/>
  <c r="K163" i="32"/>
  <c r="N163" i="32"/>
  <c r="K162" i="32"/>
  <c r="M162" i="32"/>
  <c r="N162" i="32"/>
  <c r="M10" i="32"/>
  <c r="K10" i="32"/>
  <c r="N10" i="32"/>
  <c r="N222" i="32"/>
  <c r="M222" i="32"/>
  <c r="K222" i="32"/>
  <c r="M47" i="32"/>
  <c r="N47" i="32"/>
  <c r="K47" i="32"/>
  <c r="M240" i="32"/>
  <c r="N240" i="32"/>
  <c r="K240" i="32"/>
  <c r="M274" i="32"/>
  <c r="K274" i="32"/>
  <c r="N274" i="32"/>
  <c r="M271" i="32"/>
  <c r="K271" i="32"/>
  <c r="N271" i="32"/>
  <c r="N253" i="32"/>
  <c r="K253" i="32"/>
  <c r="M253" i="32"/>
  <c r="N201" i="32"/>
  <c r="K201" i="32"/>
  <c r="M201" i="32"/>
  <c r="K217" i="32"/>
  <c r="N217" i="32"/>
  <c r="M217" i="32"/>
  <c r="M159" i="32"/>
  <c r="K159" i="32"/>
  <c r="N159" i="32"/>
  <c r="K108" i="32"/>
  <c r="M108" i="32"/>
  <c r="N108" i="32"/>
  <c r="M224" i="32"/>
  <c r="N224" i="32"/>
  <c r="K224" i="32"/>
  <c r="K207" i="32"/>
  <c r="M207" i="32"/>
  <c r="N207" i="32"/>
  <c r="K236" i="32"/>
  <c r="M236" i="32"/>
  <c r="N236" i="32"/>
  <c r="N218" i="32"/>
  <c r="K218" i="32"/>
  <c r="M218" i="32"/>
  <c r="K226" i="32"/>
  <c r="M226" i="32"/>
  <c r="N226" i="32"/>
  <c r="K104" i="32"/>
  <c r="N104" i="32"/>
  <c r="M104" i="32"/>
  <c r="M70" i="32"/>
  <c r="K70" i="32"/>
  <c r="N70" i="32"/>
  <c r="N198" i="32"/>
  <c r="K198" i="32"/>
  <c r="L198" i="32" s="1"/>
  <c r="M198" i="32"/>
  <c r="K105" i="32"/>
  <c r="N105" i="32"/>
  <c r="M105" i="32"/>
  <c r="K199" i="32"/>
  <c r="N199" i="32"/>
  <c r="M199" i="32"/>
  <c r="M205" i="32"/>
  <c r="K205" i="32"/>
  <c r="N205" i="32"/>
  <c r="N122" i="32"/>
  <c r="M122" i="32"/>
  <c r="K122" i="32"/>
  <c r="K50" i="32"/>
  <c r="M50" i="32"/>
  <c r="N50" i="32"/>
  <c r="K16" i="32"/>
  <c r="N16" i="32"/>
  <c r="M16" i="32"/>
  <c r="K191" i="32"/>
  <c r="N191" i="32"/>
  <c r="M191" i="32"/>
  <c r="K94" i="32"/>
  <c r="N94" i="32"/>
  <c r="M94" i="32"/>
  <c r="K231" i="32"/>
  <c r="N231" i="32"/>
  <c r="M231" i="32"/>
  <c r="K102" i="32"/>
  <c r="N102" i="32"/>
  <c r="M102" i="32"/>
  <c r="K241" i="32"/>
  <c r="N241" i="32"/>
  <c r="M241" i="32"/>
  <c r="N64" i="32"/>
  <c r="K64" i="32"/>
  <c r="M64" i="32"/>
  <c r="K173" i="32"/>
  <c r="N173" i="32"/>
  <c r="M173" i="32"/>
  <c r="M43" i="32"/>
  <c r="K43" i="32"/>
  <c r="N43" i="32"/>
  <c r="M71" i="32"/>
  <c r="K71" i="32"/>
  <c r="N71" i="32"/>
  <c r="N139" i="32"/>
  <c r="K139" i="32"/>
  <c r="M139" i="32"/>
  <c r="N290" i="32"/>
  <c r="M290" i="32"/>
  <c r="K290" i="32"/>
  <c r="K148" i="32"/>
  <c r="N148" i="32"/>
  <c r="M148" i="32"/>
  <c r="K140" i="32"/>
  <c r="N140" i="32"/>
  <c r="M140" i="32"/>
  <c r="N230" i="32"/>
  <c r="M230" i="32"/>
  <c r="K230" i="32"/>
  <c r="N40" i="32"/>
  <c r="K40" i="32"/>
  <c r="M40" i="32"/>
  <c r="N117" i="32"/>
  <c r="K117" i="32"/>
  <c r="M117" i="32"/>
  <c r="K41" i="32"/>
  <c r="M41" i="32"/>
  <c r="N41" i="32"/>
  <c r="K282" i="32"/>
  <c r="M282" i="32"/>
  <c r="N282" i="32"/>
  <c r="M221" i="32"/>
  <c r="K221" i="32"/>
  <c r="N221" i="32"/>
  <c r="K25" i="32"/>
  <c r="M25" i="32"/>
  <c r="N25" i="32"/>
  <c r="N57" i="32"/>
  <c r="K57" i="32"/>
  <c r="M57" i="32"/>
  <c r="M238" i="32"/>
  <c r="K238" i="32"/>
  <c r="N238" i="32"/>
  <c r="N149" i="32"/>
  <c r="K149" i="32"/>
  <c r="M149" i="32"/>
  <c r="K286" i="32"/>
  <c r="N286" i="32"/>
  <c r="M286" i="32"/>
  <c r="N249" i="32"/>
  <c r="M249" i="32"/>
  <c r="K249" i="32"/>
  <c r="M176" i="32"/>
  <c r="K176" i="32"/>
  <c r="N176" i="32"/>
  <c r="N166" i="32"/>
  <c r="K166" i="32"/>
  <c r="M166" i="32"/>
  <c r="N175" i="32"/>
  <c r="K175" i="32"/>
  <c r="M175" i="32"/>
  <c r="M276" i="32"/>
  <c r="N276" i="32"/>
  <c r="K276" i="32"/>
  <c r="K212" i="32"/>
  <c r="M212" i="32"/>
  <c r="N212" i="32"/>
  <c r="K156" i="32"/>
  <c r="N156" i="32"/>
  <c r="M156" i="32"/>
  <c r="N7" i="32"/>
  <c r="M7" i="32"/>
  <c r="K7" i="32"/>
  <c r="N75" i="32"/>
  <c r="K75" i="32"/>
  <c r="M75" i="32"/>
  <c r="N24" i="32"/>
  <c r="M24" i="32"/>
  <c r="K24" i="32"/>
  <c r="M244" i="32"/>
  <c r="K244" i="32"/>
  <c r="N244" i="32"/>
  <c r="M52" i="32"/>
  <c r="N52" i="32"/>
  <c r="K52" i="32"/>
  <c r="N283" i="32"/>
  <c r="K283" i="32"/>
  <c r="M283" i="32"/>
  <c r="N267" i="32"/>
  <c r="K267" i="32"/>
  <c r="M267" i="32"/>
  <c r="M116" i="32"/>
  <c r="K116" i="32"/>
  <c r="N116" i="32"/>
  <c r="K181" i="32"/>
  <c r="N181" i="32"/>
  <c r="M181" i="32"/>
  <c r="N179" i="32"/>
  <c r="K179" i="32"/>
  <c r="M179" i="32"/>
  <c r="N65" i="32"/>
  <c r="M65" i="32"/>
  <c r="K65" i="32"/>
  <c r="M277" i="32"/>
  <c r="K277" i="32"/>
  <c r="N277" i="32"/>
  <c r="M124" i="32"/>
  <c r="K124" i="32"/>
  <c r="N124" i="32"/>
  <c r="N247" i="32"/>
  <c r="K247" i="32"/>
  <c r="M247" i="32"/>
  <c r="M91" i="32"/>
  <c r="N91" i="32"/>
  <c r="K91" i="32"/>
  <c r="N180" i="32"/>
  <c r="K180" i="32"/>
  <c r="M180" i="32"/>
  <c r="N83" i="32"/>
  <c r="K83" i="32"/>
  <c r="M83" i="32"/>
  <c r="N53" i="32"/>
  <c r="M53" i="32"/>
  <c r="K53" i="32"/>
  <c r="M272" i="32"/>
  <c r="K272" i="32"/>
  <c r="N272" i="32"/>
  <c r="N188" i="32"/>
  <c r="M188" i="32"/>
  <c r="K188" i="32"/>
  <c r="M107" i="32"/>
  <c r="K107" i="32"/>
  <c r="N107" i="32"/>
  <c r="M233" i="32"/>
  <c r="N233" i="32"/>
  <c r="K233" i="32"/>
  <c r="N279" i="32"/>
  <c r="K279" i="32"/>
  <c r="M279" i="32"/>
  <c r="M9" i="32"/>
  <c r="N9" i="32"/>
  <c r="K9" i="32"/>
  <c r="K103" i="32"/>
  <c r="M103" i="32"/>
  <c r="N103" i="32"/>
  <c r="K152" i="32"/>
  <c r="N152" i="32"/>
  <c r="M152" i="32"/>
  <c r="M144" i="32"/>
  <c r="K144" i="32"/>
  <c r="N144" i="32"/>
  <c r="K269" i="32"/>
  <c r="M269" i="32"/>
  <c r="N269" i="32"/>
  <c r="M14" i="32"/>
  <c r="K14" i="32"/>
  <c r="N14" i="32"/>
  <c r="N111" i="32"/>
  <c r="M111" i="32"/>
  <c r="K111" i="32"/>
  <c r="K67" i="32"/>
  <c r="N67" i="32"/>
  <c r="M67" i="32"/>
  <c r="M232" i="32"/>
  <c r="K232" i="32"/>
  <c r="N232" i="32"/>
  <c r="K171" i="32"/>
  <c r="M171" i="32"/>
  <c r="N171" i="32"/>
  <c r="M214" i="32"/>
  <c r="N214" i="32"/>
  <c r="K214" i="32"/>
  <c r="N29" i="32"/>
  <c r="K29" i="32"/>
  <c r="M29" i="32"/>
  <c r="K56" i="32"/>
  <c r="M56" i="32"/>
  <c r="N56" i="32"/>
  <c r="K135" i="32"/>
  <c r="M135" i="32"/>
  <c r="N135" i="32"/>
  <c r="M150" i="32"/>
  <c r="N150" i="32"/>
  <c r="K150" i="32"/>
  <c r="K95" i="32"/>
  <c r="N95" i="32"/>
  <c r="M95" i="32"/>
  <c r="M261" i="32"/>
  <c r="N261" i="32"/>
  <c r="K261" i="32"/>
  <c r="N251" i="32"/>
  <c r="M251" i="32"/>
  <c r="K251" i="32"/>
  <c r="K292" i="32"/>
  <c r="N292" i="32"/>
  <c r="M292" i="32"/>
  <c r="M187" i="32"/>
  <c r="N187" i="32"/>
  <c r="K187" i="32"/>
  <c r="N208" i="32"/>
  <c r="M208" i="32"/>
  <c r="K208" i="32"/>
  <c r="N216" i="32"/>
  <c r="M216" i="32"/>
  <c r="K216" i="32"/>
  <c r="K77" i="32"/>
  <c r="M77" i="32"/>
  <c r="N77" i="32"/>
  <c r="K151" i="32"/>
  <c r="N151" i="32"/>
  <c r="M151" i="32"/>
  <c r="N160" i="32"/>
  <c r="K160" i="32"/>
  <c r="M160" i="32"/>
  <c r="N278" i="32"/>
  <c r="M278" i="32"/>
  <c r="K278" i="32"/>
  <c r="M225" i="32"/>
  <c r="N225" i="32"/>
  <c r="K225" i="32"/>
  <c r="K203" i="32"/>
  <c r="N203" i="32"/>
  <c r="M203" i="32"/>
  <c r="N142" i="32"/>
  <c r="K142" i="32"/>
  <c r="M142" i="32"/>
  <c r="M215" i="32"/>
  <c r="N215" i="32"/>
  <c r="K215" i="32"/>
  <c r="M284" i="32"/>
  <c r="K284" i="32"/>
  <c r="N284" i="32"/>
  <c r="K256" i="32"/>
  <c r="N256" i="32"/>
  <c r="M256" i="32"/>
  <c r="K184" i="32"/>
  <c r="N184" i="32"/>
  <c r="M184" i="32"/>
  <c r="M262" i="32"/>
  <c r="K262" i="32"/>
  <c r="N262" i="32"/>
  <c r="M258" i="32"/>
  <c r="N258" i="32"/>
  <c r="K258" i="32"/>
  <c r="N246" i="32"/>
  <c r="M246" i="32"/>
  <c r="K246" i="32"/>
  <c r="M37" i="32"/>
  <c r="K37" i="32"/>
  <c r="L37" i="32" s="1"/>
  <c r="N37" i="32"/>
  <c r="M263" i="32"/>
  <c r="K263" i="32"/>
  <c r="N263" i="32"/>
  <c r="N66" i="32"/>
  <c r="M66" i="32"/>
  <c r="K66" i="32"/>
  <c r="N243" i="32"/>
  <c r="K243" i="32"/>
  <c r="M243" i="32"/>
  <c r="N138" i="32"/>
  <c r="K138" i="32"/>
  <c r="M138" i="32"/>
  <c r="N78" i="32"/>
  <c r="M78" i="32"/>
  <c r="K78" i="32"/>
  <c r="K200" i="32"/>
  <c r="M200" i="32"/>
  <c r="N200" i="32"/>
  <c r="M63" i="32"/>
  <c r="N63" i="32"/>
  <c r="K63" i="32"/>
  <c r="K120" i="32"/>
  <c r="M120" i="32"/>
  <c r="N120" i="32"/>
  <c r="K145" i="32"/>
  <c r="N145" i="32"/>
  <c r="M145" i="32"/>
  <c r="N79" i="32"/>
  <c r="K79" i="32"/>
  <c r="M79" i="32"/>
  <c r="N8" i="32"/>
  <c r="K8" i="32"/>
  <c r="M8" i="32"/>
  <c r="N194" i="32"/>
  <c r="K194" i="32"/>
  <c r="L194" i="32" s="1"/>
  <c r="M194" i="32"/>
  <c r="K265" i="32"/>
  <c r="N265" i="32"/>
  <c r="M265" i="32"/>
  <c r="M219" i="32"/>
  <c r="N219" i="32"/>
  <c r="K219" i="32"/>
  <c r="K86" i="32"/>
  <c r="M86" i="32"/>
  <c r="N86" i="32"/>
  <c r="N257" i="32"/>
  <c r="K257" i="32"/>
  <c r="M257" i="32"/>
  <c r="M147" i="32"/>
  <c r="K147" i="32"/>
  <c r="N147" i="32"/>
  <c r="K68" i="32"/>
  <c r="N68" i="32"/>
  <c r="M68" i="32"/>
  <c r="M275" i="32"/>
  <c r="N275" i="32"/>
  <c r="K275" i="32"/>
  <c r="K62" i="32"/>
  <c r="N62" i="32"/>
  <c r="M62" i="32"/>
  <c r="N291" i="32"/>
  <c r="M291" i="32"/>
  <c r="K291" i="32"/>
  <c r="K192" i="32"/>
  <c r="L192" i="32" s="1"/>
  <c r="M192" i="32"/>
  <c r="N192" i="32"/>
  <c r="M99" i="32"/>
  <c r="K99" i="32"/>
  <c r="N99" i="32"/>
  <c r="N169" i="32"/>
  <c r="K169" i="32"/>
  <c r="M169" i="32"/>
  <c r="M11" i="32"/>
  <c r="N11" i="32"/>
  <c r="K11" i="32"/>
  <c r="N288" i="32"/>
  <c r="M288" i="32"/>
  <c r="K288" i="32"/>
  <c r="N60" i="32"/>
  <c r="K60" i="32"/>
  <c r="M60" i="32"/>
  <c r="M123" i="32"/>
  <c r="K123" i="32"/>
  <c r="N123" i="32"/>
  <c r="M85" i="32"/>
  <c r="N85" i="32"/>
  <c r="K85" i="32"/>
  <c r="M170" i="32"/>
  <c r="N170" i="32"/>
  <c r="K170" i="32"/>
  <c r="M80" i="32"/>
  <c r="K80" i="32"/>
  <c r="N80" i="32"/>
  <c r="M90" i="32"/>
  <c r="K90" i="32"/>
  <c r="N90" i="32"/>
  <c r="M185" i="32"/>
  <c r="N185" i="32"/>
  <c r="K185" i="32"/>
  <c r="N118" i="32"/>
  <c r="K118" i="32"/>
  <c r="M118" i="32"/>
  <c r="N146" i="32"/>
  <c r="M146" i="32"/>
  <c r="K146" i="32"/>
  <c r="N110" i="32"/>
  <c r="K110" i="32"/>
  <c r="M110" i="32"/>
  <c r="N55" i="32"/>
  <c r="M55" i="32"/>
  <c r="K55" i="32"/>
  <c r="N119" i="32"/>
  <c r="M119" i="32"/>
  <c r="K119" i="32"/>
  <c r="M84" i="32"/>
  <c r="K84" i="32"/>
  <c r="N84" i="32"/>
  <c r="K136" i="32"/>
  <c r="M136" i="32"/>
  <c r="N136" i="32"/>
  <c r="N287" i="32"/>
  <c r="M287" i="32"/>
  <c r="K287" i="32"/>
  <c r="M245" i="32"/>
  <c r="N245" i="32"/>
  <c r="K245" i="32"/>
  <c r="M158" i="32"/>
  <c r="K158" i="32"/>
  <c r="N158" i="32"/>
  <c r="K234" i="32"/>
  <c r="M234" i="32"/>
  <c r="N234" i="32"/>
  <c r="M126" i="32"/>
  <c r="N126" i="32"/>
  <c r="K126" i="32"/>
  <c r="K49" i="32"/>
  <c r="N49" i="32"/>
  <c r="M49" i="32"/>
  <c r="K165" i="32"/>
  <c r="N165" i="32"/>
  <c r="M165" i="32"/>
  <c r="K229" i="32"/>
  <c r="M229" i="32"/>
  <c r="N229" i="32"/>
  <c r="K133" i="32"/>
  <c r="N133" i="32"/>
  <c r="M133" i="32"/>
  <c r="K113" i="32"/>
  <c r="N113" i="32"/>
  <c r="M113" i="32"/>
  <c r="N210" i="32"/>
  <c r="M210" i="32"/>
  <c r="K210" i="32"/>
  <c r="K155" i="32"/>
  <c r="M155" i="32"/>
  <c r="N155" i="32"/>
  <c r="N141" i="32"/>
  <c r="K141" i="32"/>
  <c r="M141" i="32"/>
  <c r="M82" i="32"/>
  <c r="N82" i="32"/>
  <c r="K82" i="32"/>
  <c r="M81" i="32"/>
  <c r="K81" i="32"/>
  <c r="N81" i="32"/>
  <c r="M12" i="32"/>
  <c r="K12" i="32"/>
  <c r="N12" i="32"/>
  <c r="M98" i="32"/>
  <c r="K98" i="32"/>
  <c r="N98" i="32"/>
  <c r="L12" i="32" l="1"/>
  <c r="L257" i="32"/>
  <c r="L95" i="32"/>
  <c r="L181" i="32"/>
  <c r="L205" i="32"/>
  <c r="L81" i="32"/>
  <c r="L84" i="32"/>
  <c r="L99" i="32"/>
  <c r="L68" i="32"/>
  <c r="L165" i="32"/>
  <c r="L287" i="32"/>
  <c r="L110" i="32"/>
  <c r="L185" i="32"/>
  <c r="L123" i="32"/>
  <c r="L11" i="32"/>
  <c r="L86" i="32"/>
  <c r="L138" i="32"/>
  <c r="L215" i="32"/>
  <c r="L203" i="32"/>
  <c r="L160" i="32"/>
  <c r="L216" i="32"/>
  <c r="L232" i="32"/>
  <c r="L180" i="32"/>
  <c r="L116" i="32"/>
  <c r="L52" i="32"/>
  <c r="L149" i="32"/>
  <c r="L282" i="32"/>
  <c r="L40" i="32"/>
  <c r="L94" i="32"/>
  <c r="L108" i="32"/>
  <c r="L201" i="32"/>
  <c r="L88" i="32"/>
  <c r="L137" i="32"/>
  <c r="L121" i="32"/>
  <c r="L270" i="32"/>
  <c r="L59" i="32"/>
  <c r="L211" i="32"/>
  <c r="L45" i="32"/>
  <c r="L254" i="32"/>
  <c r="L72" i="32"/>
  <c r="L206" i="32"/>
  <c r="L228" i="32"/>
  <c r="L126" i="32"/>
  <c r="L169" i="32"/>
  <c r="L151" i="32"/>
  <c r="L118" i="32"/>
  <c r="L24" i="32"/>
  <c r="L57" i="32"/>
  <c r="L113" i="32"/>
  <c r="L98" i="32"/>
  <c r="L155" i="32"/>
  <c r="L170" i="32"/>
  <c r="L62" i="32"/>
  <c r="L147" i="32"/>
  <c r="L219" i="32"/>
  <c r="L263" i="32"/>
  <c r="L258" i="32"/>
  <c r="L184" i="32"/>
  <c r="L225" i="32"/>
  <c r="L214" i="32"/>
  <c r="L14" i="32"/>
  <c r="L107" i="32"/>
  <c r="L53" i="32"/>
  <c r="L124" i="32"/>
  <c r="L156" i="32"/>
  <c r="L175" i="32"/>
  <c r="L249" i="32"/>
  <c r="L173" i="32"/>
  <c r="L50" i="32"/>
  <c r="L226" i="32"/>
  <c r="L274" i="32"/>
  <c r="L222" i="32"/>
  <c r="L162" i="32"/>
  <c r="L76" i="32"/>
  <c r="L227" i="32"/>
  <c r="L54" i="32"/>
  <c r="L161" i="32"/>
  <c r="L252" i="32"/>
  <c r="L101" i="32"/>
  <c r="L115" i="32"/>
  <c r="L239" i="32"/>
  <c r="L264" i="32"/>
  <c r="L92" i="32"/>
  <c r="L46" i="32"/>
  <c r="L125" i="32"/>
  <c r="L266" i="32"/>
  <c r="L51" i="32"/>
  <c r="L202" i="32"/>
  <c r="L273" i="32"/>
  <c r="L31" i="32"/>
  <c r="L20" i="32"/>
  <c r="L55" i="32"/>
  <c r="L142" i="32"/>
  <c r="L63" i="32"/>
  <c r="L284" i="32"/>
  <c r="L103" i="32"/>
  <c r="L65" i="32"/>
  <c r="L82" i="32"/>
  <c r="L234" i="32"/>
  <c r="L119" i="32"/>
  <c r="L210" i="32"/>
  <c r="L133" i="32"/>
  <c r="L146" i="32"/>
  <c r="L275" i="32"/>
  <c r="L145" i="32"/>
  <c r="L135" i="32"/>
  <c r="L91" i="32"/>
  <c r="L179" i="32"/>
  <c r="L75" i="32"/>
  <c r="L25" i="32"/>
  <c r="L230" i="32"/>
  <c r="L148" i="32"/>
  <c r="L71" i="32"/>
  <c r="L102" i="32"/>
  <c r="L122" i="32"/>
  <c r="L199" i="32"/>
  <c r="L70" i="32"/>
  <c r="L207" i="32"/>
  <c r="L159" i="32"/>
  <c r="L69" i="32"/>
  <c r="L154" i="32"/>
  <c r="L259" i="32"/>
  <c r="L177" i="32"/>
  <c r="L172" i="32"/>
  <c r="L281" i="32"/>
  <c r="L134" i="32"/>
  <c r="L21" i="32"/>
  <c r="L6" i="32"/>
  <c r="L235" i="32"/>
  <c r="L42" i="32"/>
  <c r="L178" i="32"/>
  <c r="L19" i="32"/>
  <c r="L132" i="32"/>
  <c r="L39" i="32"/>
  <c r="L87" i="32"/>
  <c r="L85" i="32"/>
  <c r="L256" i="32"/>
  <c r="L265" i="32"/>
  <c r="L246" i="32"/>
  <c r="L49" i="32"/>
  <c r="L158" i="32"/>
  <c r="L60" i="32"/>
  <c r="L8" i="32"/>
  <c r="L200" i="32"/>
  <c r="L243" i="32"/>
  <c r="L208" i="32"/>
  <c r="L292" i="32"/>
  <c r="L152" i="32"/>
  <c r="L279" i="32"/>
  <c r="L188" i="32"/>
  <c r="L267" i="32"/>
  <c r="L238" i="32"/>
  <c r="L41" i="32"/>
  <c r="L290" i="32"/>
  <c r="L64" i="32"/>
  <c r="L191" i="32"/>
  <c r="L218" i="32"/>
  <c r="L224" i="32"/>
  <c r="L253" i="32"/>
  <c r="L240" i="32"/>
  <c r="L163" i="32"/>
  <c r="L220" i="32"/>
  <c r="L209" i="32"/>
  <c r="L97" i="32"/>
  <c r="L28" i="32"/>
  <c r="L183" i="32"/>
  <c r="L143" i="32"/>
  <c r="L213" i="32"/>
  <c r="L109" i="32"/>
  <c r="L89" i="32"/>
  <c r="L291" i="32"/>
  <c r="L251" i="32"/>
  <c r="L244" i="32"/>
  <c r="L212" i="32"/>
  <c r="L221" i="32"/>
  <c r="L223" i="32"/>
  <c r="L112" i="32"/>
  <c r="L74" i="32"/>
  <c r="L114" i="32"/>
  <c r="L18" i="32"/>
  <c r="L93" i="32"/>
  <c r="L182" i="32"/>
  <c r="L293" i="32"/>
  <c r="L268" i="32"/>
  <c r="L130" i="32"/>
  <c r="L190" i="32"/>
  <c r="L260" i="32"/>
  <c r="L44" i="32"/>
  <c r="L204" i="32"/>
  <c r="L186" i="32"/>
  <c r="L61" i="32"/>
  <c r="L78" i="32"/>
  <c r="L67" i="32"/>
  <c r="L277" i="32"/>
  <c r="L7" i="32"/>
  <c r="L166" i="32"/>
  <c r="L141" i="32"/>
  <c r="L229" i="32"/>
  <c r="L245" i="32"/>
  <c r="L136" i="32"/>
  <c r="L288" i="32"/>
  <c r="L120" i="32"/>
  <c r="L66" i="32"/>
  <c r="L262" i="32"/>
  <c r="L150" i="32"/>
  <c r="L56" i="32"/>
  <c r="L111" i="32"/>
  <c r="L269" i="32"/>
  <c r="L233" i="32"/>
  <c r="L83" i="32"/>
  <c r="L276" i="32"/>
  <c r="L117" i="32"/>
  <c r="L43" i="32"/>
  <c r="L231" i="32"/>
  <c r="L105" i="32"/>
  <c r="L10" i="32"/>
  <c r="L34" i="32"/>
  <c r="L255" i="32"/>
  <c r="L289" i="32"/>
  <c r="L280" i="32"/>
  <c r="L189" i="32"/>
  <c r="L17" i="32"/>
  <c r="L250" i="32"/>
  <c r="L237" i="32"/>
  <c r="L168" i="32"/>
  <c r="L100" i="32"/>
  <c r="L23" i="32"/>
  <c r="L79" i="32"/>
  <c r="L171" i="32"/>
  <c r="L283" i="32"/>
  <c r="L286" i="32"/>
  <c r="L16" i="32"/>
  <c r="L104" i="32"/>
  <c r="L217" i="32"/>
  <c r="L271" i="32"/>
  <c r="L47" i="32"/>
  <c r="L48" i="32"/>
  <c r="L26" i="32"/>
  <c r="L164" i="32"/>
  <c r="L153" i="32"/>
  <c r="L167" i="32"/>
  <c r="L27" i="32"/>
  <c r="L13" i="32"/>
  <c r="L242" i="32"/>
  <c r="L248" i="32"/>
  <c r="L106" i="32"/>
  <c r="L285" i="32"/>
  <c r="L127" i="32"/>
  <c r="L33" i="32"/>
  <c r="L96" i="32"/>
  <c r="L129" i="32"/>
  <c r="L30" i="32"/>
  <c r="L157" i="32"/>
  <c r="L90" i="32"/>
  <c r="L278" i="32"/>
  <c r="L187" i="32"/>
  <c r="L247" i="32"/>
  <c r="L80" i="32"/>
  <c r="L77" i="32"/>
  <c r="L261" i="32"/>
  <c r="L29" i="32"/>
  <c r="L144" i="32"/>
  <c r="L9" i="32"/>
  <c r="L272" i="32"/>
  <c r="L176" i="32"/>
  <c r="L140" i="32"/>
  <c r="L139" i="32"/>
  <c r="L241" i="32"/>
  <c r="L236" i="32"/>
  <c r="L128" i="32"/>
  <c r="L15" i="32"/>
  <c r="L32" i="32"/>
  <c r="L131" i="32"/>
  <c r="L58" i="32"/>
  <c r="L174" i="32"/>
  <c r="L22" i="32"/>
  <c r="L73" i="32"/>
  <c r="D12" i="32"/>
  <c r="F29" i="32"/>
  <c r="G155" i="32"/>
  <c r="F80" i="32"/>
  <c r="G187" i="32"/>
  <c r="D180" i="32"/>
  <c r="G176" i="32"/>
  <c r="G148" i="32"/>
  <c r="F199" i="32"/>
  <c r="F47" i="32"/>
  <c r="G227" i="32"/>
  <c r="G21" i="32"/>
  <c r="F202" i="32"/>
  <c r="F39" i="32"/>
  <c r="D151" i="32"/>
  <c r="G66" i="32"/>
  <c r="F94" i="32"/>
  <c r="F49" i="32"/>
  <c r="D147" i="32"/>
  <c r="F261" i="32"/>
  <c r="D14" i="32"/>
  <c r="D53" i="32"/>
  <c r="G75" i="32"/>
  <c r="G25" i="32"/>
  <c r="D252" i="32"/>
  <c r="G134" i="32"/>
  <c r="F178" i="32"/>
  <c r="F131" i="32"/>
  <c r="F188" i="32"/>
  <c r="F123" i="32"/>
  <c r="F119" i="32"/>
  <c r="F11" i="32"/>
  <c r="G256" i="32"/>
  <c r="F107" i="32"/>
  <c r="G249" i="32"/>
  <c r="D148" i="32"/>
  <c r="F222" i="32"/>
  <c r="D177" i="32"/>
  <c r="F114" i="32"/>
  <c r="D6" i="32"/>
  <c r="G46" i="32"/>
  <c r="D19" i="32"/>
  <c r="F89" i="32"/>
  <c r="D256" i="32"/>
  <c r="D246" i="32"/>
  <c r="F169" i="32"/>
  <c r="G225" i="32"/>
  <c r="F212" i="32"/>
  <c r="F230" i="32"/>
  <c r="G231" i="32"/>
  <c r="F70" i="32"/>
  <c r="D253" i="32"/>
  <c r="G259" i="32"/>
  <c r="G161" i="32"/>
  <c r="F168" i="32"/>
  <c r="F104" i="32"/>
  <c r="F26" i="32"/>
  <c r="F167" i="32"/>
  <c r="G242" i="32"/>
  <c r="D182" i="32"/>
  <c r="G237" i="32"/>
  <c r="F12" i="32"/>
  <c r="G90" i="32"/>
  <c r="F79" i="32"/>
  <c r="D56" i="32"/>
  <c r="G103" i="32"/>
  <c r="F277" i="32"/>
  <c r="G140" i="32"/>
  <c r="F48" i="32"/>
  <c r="F15" i="32"/>
  <c r="D17" i="32"/>
  <c r="F183" i="32"/>
  <c r="F33" i="32"/>
  <c r="D100" i="32"/>
  <c r="G85" i="32"/>
  <c r="G29" i="32"/>
  <c r="D84" i="32"/>
  <c r="F155" i="32"/>
  <c r="D287" i="32"/>
  <c r="G80" i="32"/>
  <c r="D86" i="32"/>
  <c r="D215" i="32"/>
  <c r="F187" i="32"/>
  <c r="F176" i="32"/>
  <c r="F148" i="32"/>
  <c r="G199" i="32"/>
  <c r="G47" i="32"/>
  <c r="F227" i="32"/>
  <c r="D121" i="32"/>
  <c r="F21" i="32"/>
  <c r="D45" i="32"/>
  <c r="G202" i="32"/>
  <c r="G39" i="32"/>
  <c r="D228" i="32"/>
  <c r="F66" i="32"/>
  <c r="G94" i="32"/>
  <c r="G49" i="32"/>
  <c r="D184" i="32"/>
  <c r="G261" i="32"/>
  <c r="F75" i="32"/>
  <c r="F25" i="32"/>
  <c r="D226" i="32"/>
  <c r="D162" i="32"/>
  <c r="D227" i="32"/>
  <c r="F134" i="32"/>
  <c r="G178" i="32"/>
  <c r="G131" i="32"/>
  <c r="D273" i="32"/>
  <c r="D20" i="32"/>
  <c r="G188" i="32"/>
  <c r="D65" i="32"/>
  <c r="G123" i="32"/>
  <c r="G119" i="32"/>
  <c r="G11" i="32"/>
  <c r="D145" i="32"/>
  <c r="F256" i="32"/>
  <c r="D135" i="32"/>
  <c r="G107" i="32"/>
  <c r="D179" i="32"/>
  <c r="F249" i="32"/>
  <c r="D122" i="32"/>
  <c r="D207" i="32"/>
  <c r="G222" i="32"/>
  <c r="G114" i="32"/>
  <c r="D134" i="32"/>
  <c r="D4" i="32"/>
  <c r="F46" i="32"/>
  <c r="D39" i="32"/>
  <c r="G89" i="32"/>
  <c r="D158" i="32"/>
  <c r="G169" i="32"/>
  <c r="D200" i="32"/>
  <c r="F225" i="32"/>
  <c r="D152" i="32"/>
  <c r="G212" i="32"/>
  <c r="G230" i="32"/>
  <c r="F231" i="32"/>
  <c r="G70" i="32"/>
  <c r="F259" i="32"/>
  <c r="F161" i="32"/>
  <c r="D97" i="32"/>
  <c r="D28" i="32"/>
  <c r="G168" i="32"/>
  <c r="D109" i="32"/>
  <c r="D251" i="32"/>
  <c r="D212" i="32"/>
  <c r="G104" i="32"/>
  <c r="G26" i="32"/>
  <c r="G167" i="32"/>
  <c r="F242" i="32"/>
  <c r="F237" i="32"/>
  <c r="D204" i="32"/>
  <c r="D61" i="32"/>
  <c r="D67" i="32"/>
  <c r="D166" i="32"/>
  <c r="G12" i="32"/>
  <c r="D245" i="32"/>
  <c r="F90" i="32"/>
  <c r="G79" i="32"/>
  <c r="D262" i="32"/>
  <c r="F103" i="32"/>
  <c r="G277" i="32"/>
  <c r="D276" i="32"/>
  <c r="F140" i="32"/>
  <c r="D105" i="32"/>
  <c r="G48" i="32"/>
  <c r="D289" i="32"/>
  <c r="G15" i="32"/>
  <c r="G183" i="32"/>
  <c r="G33" i="32"/>
  <c r="F85" i="32"/>
  <c r="D286" i="32"/>
  <c r="D104" i="32"/>
  <c r="D47" i="32"/>
  <c r="D164" i="32"/>
  <c r="D13" i="32"/>
  <c r="D106" i="32"/>
  <c r="D127" i="32"/>
  <c r="D129" i="32"/>
  <c r="G73" i="32"/>
  <c r="G126" i="32"/>
  <c r="D247" i="32"/>
  <c r="F62" i="32"/>
  <c r="F184" i="32"/>
  <c r="D9" i="32"/>
  <c r="G65" i="32"/>
  <c r="D176" i="32"/>
  <c r="F205" i="32"/>
  <c r="F271" i="32"/>
  <c r="F255" i="32"/>
  <c r="F280" i="32"/>
  <c r="D15" i="32"/>
  <c r="F45" i="32"/>
  <c r="D58" i="32"/>
  <c r="D73" i="32"/>
  <c r="D191" i="32"/>
  <c r="G250" i="32"/>
  <c r="G286" i="32"/>
  <c r="D257" i="32"/>
  <c r="D99" i="32"/>
  <c r="F133" i="32"/>
  <c r="F84" i="32"/>
  <c r="F145" i="32"/>
  <c r="D232" i="32"/>
  <c r="D116" i="32"/>
  <c r="F102" i="32"/>
  <c r="F226" i="32"/>
  <c r="G162" i="32"/>
  <c r="G54" i="32"/>
  <c r="G115" i="32"/>
  <c r="D59" i="32"/>
  <c r="F125" i="32"/>
  <c r="D126" i="32"/>
  <c r="F269" i="32"/>
  <c r="G77" i="32"/>
  <c r="F287" i="32"/>
  <c r="F135" i="32"/>
  <c r="F152" i="32"/>
  <c r="D156" i="32"/>
  <c r="G207" i="32"/>
  <c r="G69" i="32"/>
  <c r="D264" i="32"/>
  <c r="D82" i="32"/>
  <c r="F98" i="32"/>
  <c r="G200" i="32"/>
  <c r="F215" i="32"/>
  <c r="F67" i="32"/>
  <c r="G53" i="32"/>
  <c r="F267" i="32"/>
  <c r="D25" i="32"/>
  <c r="D172" i="32"/>
  <c r="F121" i="32"/>
  <c r="G182" i="32"/>
  <c r="F186" i="32"/>
  <c r="G141" i="32"/>
  <c r="G56" i="32"/>
  <c r="G82" i="32"/>
  <c r="F146" i="32"/>
  <c r="F257" i="32"/>
  <c r="F166" i="32"/>
  <c r="D240" i="32"/>
  <c r="G112" i="32"/>
  <c r="G172" i="32"/>
  <c r="F6" i="32"/>
  <c r="F91" i="32"/>
  <c r="G217" i="32"/>
  <c r="G289" i="32"/>
  <c r="D181" i="32"/>
  <c r="G133" i="32"/>
  <c r="G84" i="32"/>
  <c r="D123" i="32"/>
  <c r="G145" i="32"/>
  <c r="D203" i="32"/>
  <c r="D149" i="32"/>
  <c r="G102" i="32"/>
  <c r="G226" i="32"/>
  <c r="F162" i="32"/>
  <c r="F54" i="32"/>
  <c r="F115" i="32"/>
  <c r="G125" i="32"/>
  <c r="D72" i="32"/>
  <c r="D206" i="32"/>
  <c r="G269" i="32"/>
  <c r="F77" i="32"/>
  <c r="D113" i="32"/>
  <c r="G287" i="32"/>
  <c r="D219" i="32"/>
  <c r="D225" i="32"/>
  <c r="G135" i="32"/>
  <c r="G152" i="32"/>
  <c r="D124" i="32"/>
  <c r="D173" i="32"/>
  <c r="F207" i="32"/>
  <c r="F69" i="32"/>
  <c r="D54" i="32"/>
  <c r="D101" i="32"/>
  <c r="D125" i="32"/>
  <c r="D202" i="32"/>
  <c r="D31" i="32"/>
  <c r="D55" i="32"/>
  <c r="D63" i="32"/>
  <c r="G98" i="32"/>
  <c r="D146" i="32"/>
  <c r="D275" i="32"/>
  <c r="F200" i="32"/>
  <c r="G215" i="32"/>
  <c r="G67" i="32"/>
  <c r="F53" i="32"/>
  <c r="G267" i="32"/>
  <c r="D71" i="32"/>
  <c r="D199" i="32"/>
  <c r="D159" i="32"/>
  <c r="D69" i="32"/>
  <c r="G121" i="32"/>
  <c r="F182" i="32"/>
  <c r="D235" i="32"/>
  <c r="D178" i="32"/>
  <c r="D132" i="32"/>
  <c r="G186" i="32"/>
  <c r="F141" i="32"/>
  <c r="F56" i="32"/>
  <c r="F82" i="32"/>
  <c r="G146" i="32"/>
  <c r="G257" i="32"/>
  <c r="D243" i="32"/>
  <c r="D208" i="32"/>
  <c r="D279" i="32"/>
  <c r="G166" i="32"/>
  <c r="D290" i="32"/>
  <c r="D218" i="32"/>
  <c r="F112" i="32"/>
  <c r="F172" i="32"/>
  <c r="G6" i="32"/>
  <c r="F250" i="32"/>
  <c r="D143" i="32"/>
  <c r="D89" i="32"/>
  <c r="G91" i="32"/>
  <c r="F286" i="32"/>
  <c r="F217" i="32"/>
  <c r="D112" i="32"/>
  <c r="F289" i="32"/>
  <c r="D18" i="32"/>
  <c r="F213" i="32"/>
  <c r="G229" i="32"/>
  <c r="G83" i="32"/>
  <c r="G238" i="32"/>
  <c r="D141" i="32"/>
  <c r="D136" i="32"/>
  <c r="D288" i="32"/>
  <c r="D120" i="32"/>
  <c r="F278" i="32"/>
  <c r="F171" i="32"/>
  <c r="D233" i="32"/>
  <c r="G283" i="32"/>
  <c r="F57" i="32"/>
  <c r="D43" i="32"/>
  <c r="F224" i="32"/>
  <c r="D34" i="32"/>
  <c r="D280" i="32"/>
  <c r="F97" i="32"/>
  <c r="D250" i="32"/>
  <c r="G285" i="32"/>
  <c r="F44" i="32"/>
  <c r="D23" i="32"/>
  <c r="F63" i="32"/>
  <c r="F144" i="32"/>
  <c r="D282" i="32"/>
  <c r="D108" i="32"/>
  <c r="G177" i="32"/>
  <c r="D137" i="32"/>
  <c r="G239" i="32"/>
  <c r="F235" i="32"/>
  <c r="F266" i="32"/>
  <c r="G132" i="32"/>
  <c r="G22" i="32"/>
  <c r="D169" i="32"/>
  <c r="F165" i="32"/>
  <c r="D24" i="32"/>
  <c r="D98" i="32"/>
  <c r="G216" i="32"/>
  <c r="F9" i="32"/>
  <c r="G179" i="32"/>
  <c r="G191" i="32"/>
  <c r="F154" i="32"/>
  <c r="D115" i="32"/>
  <c r="G143" i="32"/>
  <c r="G109" i="32"/>
  <c r="F275" i="32"/>
  <c r="F185" i="32"/>
  <c r="F147" i="32"/>
  <c r="F243" i="32"/>
  <c r="G151" i="32"/>
  <c r="F14" i="32"/>
  <c r="F52" i="32"/>
  <c r="F41" i="32"/>
  <c r="G64" i="32"/>
  <c r="D70" i="32"/>
  <c r="F253" i="32"/>
  <c r="D154" i="32"/>
  <c r="G137" i="32"/>
  <c r="D21" i="32"/>
  <c r="F190" i="32"/>
  <c r="G273" i="32"/>
  <c r="D85" i="32"/>
  <c r="F288" i="32"/>
  <c r="F210" i="32"/>
  <c r="G170" i="32"/>
  <c r="G219" i="32"/>
  <c r="F258" i="32"/>
  <c r="D292" i="32"/>
  <c r="F71" i="32"/>
  <c r="G122" i="32"/>
  <c r="D224" i="32"/>
  <c r="G74" i="32"/>
  <c r="G281" i="32"/>
  <c r="G268" i="32"/>
  <c r="D183" i="32"/>
  <c r="G19" i="32"/>
  <c r="F158" i="32"/>
  <c r="G181" i="32"/>
  <c r="G163" i="32"/>
  <c r="G164" i="32"/>
  <c r="G209" i="32"/>
  <c r="D268" i="32"/>
  <c r="D78" i="32"/>
  <c r="G117" i="32"/>
  <c r="F113" i="32"/>
  <c r="F55" i="32"/>
  <c r="F291" i="32"/>
  <c r="F78" i="32"/>
  <c r="F251" i="32"/>
  <c r="G244" i="32"/>
  <c r="F221" i="32"/>
  <c r="F241" i="32"/>
  <c r="G240" i="32"/>
  <c r="D255" i="32"/>
  <c r="F293" i="32"/>
  <c r="F127" i="32"/>
  <c r="F129" i="32"/>
  <c r="G61" i="32"/>
  <c r="G43" i="32"/>
  <c r="G254" i="32"/>
  <c r="G174" i="32"/>
  <c r="G206" i="32"/>
  <c r="D95" i="32"/>
  <c r="D205" i="32"/>
  <c r="D68" i="32"/>
  <c r="D165" i="32"/>
  <c r="D110" i="32"/>
  <c r="D11" i="32"/>
  <c r="G63" i="32"/>
  <c r="D160" i="32"/>
  <c r="G144" i="32"/>
  <c r="D52" i="32"/>
  <c r="D94" i="32"/>
  <c r="F177" i="32"/>
  <c r="F239" i="32"/>
  <c r="G235" i="32"/>
  <c r="G266" i="32"/>
  <c r="F132" i="32"/>
  <c r="F22" i="32"/>
  <c r="G165" i="32"/>
  <c r="D170" i="32"/>
  <c r="D263" i="32"/>
  <c r="F216" i="32"/>
  <c r="D214" i="32"/>
  <c r="G9" i="32"/>
  <c r="F179" i="32"/>
  <c r="D175" i="32"/>
  <c r="F191" i="32"/>
  <c r="D274" i="32"/>
  <c r="G154" i="32"/>
  <c r="D161" i="32"/>
  <c r="D92" i="32"/>
  <c r="D266" i="32"/>
  <c r="F143" i="32"/>
  <c r="F109" i="32"/>
  <c r="G275" i="32"/>
  <c r="D284" i="32"/>
  <c r="D234" i="32"/>
  <c r="D210" i="32"/>
  <c r="G185" i="32"/>
  <c r="G147" i="32"/>
  <c r="G243" i="32"/>
  <c r="F151" i="32"/>
  <c r="G14" i="32"/>
  <c r="D91" i="32"/>
  <c r="G52" i="32"/>
  <c r="G41" i="32"/>
  <c r="F64" i="32"/>
  <c r="G253" i="32"/>
  <c r="F137" i="32"/>
  <c r="D281" i="32"/>
  <c r="D42" i="32"/>
  <c r="G190" i="32"/>
  <c r="F273" i="32"/>
  <c r="D87" i="32"/>
  <c r="G288" i="32"/>
  <c r="G210" i="32"/>
  <c r="F170" i="32"/>
  <c r="F219" i="32"/>
  <c r="G258" i="32"/>
  <c r="D188" i="32"/>
  <c r="D238" i="32"/>
  <c r="G71" i="32"/>
  <c r="F122" i="32"/>
  <c r="D163" i="32"/>
  <c r="F74" i="32"/>
  <c r="F281" i="32"/>
  <c r="F268" i="32"/>
  <c r="F19" i="32"/>
  <c r="G158" i="32"/>
  <c r="F181" i="32"/>
  <c r="D221" i="32"/>
  <c r="F163" i="32"/>
  <c r="F164" i="32"/>
  <c r="D114" i="32"/>
  <c r="F209" i="32"/>
  <c r="D260" i="32"/>
  <c r="D186" i="32"/>
  <c r="D277" i="32"/>
  <c r="F117" i="32"/>
  <c r="G113" i="32"/>
  <c r="G55" i="32"/>
  <c r="G291" i="32"/>
  <c r="G78" i="32"/>
  <c r="G251" i="32"/>
  <c r="D111" i="32"/>
  <c r="D83" i="32"/>
  <c r="F244" i="32"/>
  <c r="G221" i="32"/>
  <c r="G241" i="32"/>
  <c r="F240" i="32"/>
  <c r="D189" i="32"/>
  <c r="G293" i="32"/>
  <c r="D237" i="32"/>
  <c r="G127" i="32"/>
  <c r="G129" i="32"/>
  <c r="F61" i="32"/>
  <c r="D171" i="32"/>
  <c r="F43" i="32"/>
  <c r="D217" i="32"/>
  <c r="D48" i="32"/>
  <c r="D167" i="32"/>
  <c r="D248" i="32"/>
  <c r="F254" i="32"/>
  <c r="F174" i="32"/>
  <c r="F206" i="32"/>
  <c r="D90" i="32"/>
  <c r="G110" i="32"/>
  <c r="G138" i="32"/>
  <c r="G160" i="32"/>
  <c r="D29" i="32"/>
  <c r="D272" i="32"/>
  <c r="G156" i="32"/>
  <c r="F282" i="32"/>
  <c r="G173" i="32"/>
  <c r="G108" i="32"/>
  <c r="F34" i="32"/>
  <c r="G270" i="32"/>
  <c r="F59" i="32"/>
  <c r="D131" i="32"/>
  <c r="F31" i="32"/>
  <c r="D117" i="32"/>
  <c r="F32" i="32"/>
  <c r="F30" i="32"/>
  <c r="F136" i="32"/>
  <c r="F111" i="32"/>
  <c r="D80" i="32"/>
  <c r="F246" i="32"/>
  <c r="D144" i="32"/>
  <c r="F203" i="32"/>
  <c r="D81" i="32"/>
  <c r="G81" i="32"/>
  <c r="F234" i="32"/>
  <c r="G99" i="32"/>
  <c r="G272" i="32"/>
  <c r="F175" i="32"/>
  <c r="G50" i="32"/>
  <c r="D201" i="32"/>
  <c r="D88" i="32"/>
  <c r="F27" i="32"/>
  <c r="G96" i="32"/>
  <c r="F157" i="32"/>
  <c r="F120" i="32"/>
  <c r="G292" i="32"/>
  <c r="G232" i="32"/>
  <c r="D107" i="32"/>
  <c r="G116" i="32"/>
  <c r="D50" i="32"/>
  <c r="D76" i="32"/>
  <c r="G128" i="32"/>
  <c r="G58" i="32"/>
  <c r="F87" i="32"/>
  <c r="F60" i="32"/>
  <c r="G8" i="32"/>
  <c r="G263" i="32"/>
  <c r="G95" i="32"/>
  <c r="F279" i="32"/>
  <c r="F124" i="32"/>
  <c r="D230" i="32"/>
  <c r="D102" i="32"/>
  <c r="F218" i="32"/>
  <c r="F274" i="32"/>
  <c r="G252" i="32"/>
  <c r="F18" i="32"/>
  <c r="G92" i="32"/>
  <c r="G28" i="32"/>
  <c r="F260" i="32"/>
  <c r="F204" i="32"/>
  <c r="G20" i="32"/>
  <c r="G265" i="32"/>
  <c r="D49" i="32"/>
  <c r="F142" i="32"/>
  <c r="G214" i="32"/>
  <c r="D41" i="32"/>
  <c r="F105" i="32"/>
  <c r="G159" i="32"/>
  <c r="F223" i="32"/>
  <c r="G42" i="32"/>
  <c r="F51" i="32"/>
  <c r="D244" i="32"/>
  <c r="F16" i="32"/>
  <c r="D223" i="32"/>
  <c r="D74" i="32"/>
  <c r="F189" i="32"/>
  <c r="G23" i="32"/>
  <c r="F208" i="32"/>
  <c r="G290" i="32"/>
  <c r="G118" i="32"/>
  <c r="F68" i="32"/>
  <c r="F247" i="32"/>
  <c r="F7" i="32"/>
  <c r="D231" i="32"/>
  <c r="G220" i="32"/>
  <c r="G248" i="32"/>
  <c r="G130" i="32"/>
  <c r="D16" i="32"/>
  <c r="D271" i="32"/>
  <c r="F93" i="32"/>
  <c r="G100" i="32"/>
  <c r="G203" i="32"/>
  <c r="F81" i="32"/>
  <c r="G234" i="32"/>
  <c r="D185" i="32"/>
  <c r="F99" i="32"/>
  <c r="D138" i="32"/>
  <c r="D216" i="32"/>
  <c r="F272" i="32"/>
  <c r="G175" i="32"/>
  <c r="D40" i="32"/>
  <c r="F50" i="32"/>
  <c r="G27" i="32"/>
  <c r="D270" i="32"/>
  <c r="D211" i="32"/>
  <c r="D254" i="32"/>
  <c r="F96" i="32"/>
  <c r="G157" i="32"/>
  <c r="G120" i="32"/>
  <c r="D118" i="32"/>
  <c r="D57" i="32"/>
  <c r="D155" i="32"/>
  <c r="D62" i="32"/>
  <c r="D258" i="32"/>
  <c r="F292" i="32"/>
  <c r="F232" i="32"/>
  <c r="F116" i="32"/>
  <c r="D249" i="32"/>
  <c r="D222" i="32"/>
  <c r="F128" i="32"/>
  <c r="D239" i="32"/>
  <c r="D46" i="32"/>
  <c r="D51" i="32"/>
  <c r="F58" i="32"/>
  <c r="G87" i="32"/>
  <c r="D142" i="32"/>
  <c r="D103" i="32"/>
  <c r="D119" i="32"/>
  <c r="D133" i="32"/>
  <c r="G60" i="32"/>
  <c r="F8" i="32"/>
  <c r="F263" i="32"/>
  <c r="F95" i="32"/>
  <c r="G279" i="32"/>
  <c r="G124" i="32"/>
  <c r="D75" i="32"/>
  <c r="G218" i="32"/>
  <c r="G274" i="32"/>
  <c r="D259" i="32"/>
  <c r="F252" i="32"/>
  <c r="G18" i="32"/>
  <c r="F92" i="32"/>
  <c r="F28" i="32"/>
  <c r="G260" i="32"/>
  <c r="G204" i="32"/>
  <c r="F20" i="32"/>
  <c r="F265" i="32"/>
  <c r="D265" i="32"/>
  <c r="D60" i="32"/>
  <c r="D8" i="32"/>
  <c r="G142" i="32"/>
  <c r="F214" i="32"/>
  <c r="D267" i="32"/>
  <c r="D64" i="32"/>
  <c r="G105" i="32"/>
  <c r="F159" i="32"/>
  <c r="G223" i="32"/>
  <c r="D220" i="32"/>
  <c r="D209" i="32"/>
  <c r="F42" i="32"/>
  <c r="G51" i="32"/>
  <c r="D213" i="32"/>
  <c r="D291" i="32"/>
  <c r="G16" i="32"/>
  <c r="G189" i="32"/>
  <c r="D93" i="32"/>
  <c r="D130" i="32"/>
  <c r="D44" i="32"/>
  <c r="F23" i="32"/>
  <c r="G208" i="32"/>
  <c r="D7" i="32"/>
  <c r="F290" i="32"/>
  <c r="D229" i="32"/>
  <c r="F118" i="32"/>
  <c r="G68" i="32"/>
  <c r="D66" i="32"/>
  <c r="D150" i="32"/>
  <c r="D269" i="32"/>
  <c r="G247" i="32"/>
  <c r="G7" i="32"/>
  <c r="D10" i="32"/>
  <c r="F220" i="32"/>
  <c r="F248" i="32"/>
  <c r="F130" i="32"/>
  <c r="G32" i="32"/>
  <c r="D168" i="32"/>
  <c r="G30" i="32"/>
  <c r="G136" i="32"/>
  <c r="D283" i="32"/>
  <c r="D26" i="32"/>
  <c r="D27" i="32"/>
  <c r="G93" i="32"/>
  <c r="D285" i="32"/>
  <c r="D96" i="32"/>
  <c r="F100" i="32"/>
  <c r="D278" i="32"/>
  <c r="G111" i="32"/>
  <c r="G246" i="32"/>
  <c r="D77" i="32"/>
  <c r="F180" i="32"/>
  <c r="G276" i="32"/>
  <c r="F40" i="32"/>
  <c r="G201" i="32"/>
  <c r="G88" i="32"/>
  <c r="F101" i="32"/>
  <c r="F264" i="32"/>
  <c r="G211" i="32"/>
  <c r="G72" i="32"/>
  <c r="D293" i="32"/>
  <c r="G44" i="32"/>
  <c r="F139" i="32"/>
  <c r="F17" i="32"/>
  <c r="D30" i="32"/>
  <c r="G262" i="32"/>
  <c r="G62" i="32"/>
  <c r="G233" i="32"/>
  <c r="F276" i="32"/>
  <c r="F108" i="32"/>
  <c r="G153" i="32"/>
  <c r="F270" i="32"/>
  <c r="D22" i="32"/>
  <c r="G213" i="32"/>
  <c r="G139" i="32"/>
  <c r="F10" i="32"/>
  <c r="F73" i="32"/>
  <c r="G86" i="32"/>
  <c r="F233" i="32"/>
  <c r="D139" i="32"/>
  <c r="F201" i="32"/>
  <c r="F153" i="32"/>
  <c r="G97" i="32"/>
  <c r="D157" i="32"/>
  <c r="F149" i="32"/>
  <c r="D128" i="32"/>
  <c r="F238" i="32"/>
  <c r="G224" i="32"/>
  <c r="D242" i="32"/>
  <c r="F138" i="32"/>
  <c r="F150" i="32"/>
  <c r="G180" i="32"/>
  <c r="D241" i="32"/>
  <c r="G106" i="32"/>
  <c r="G228" i="32"/>
  <c r="D190" i="32"/>
  <c r="F229" i="32"/>
  <c r="G278" i="32"/>
  <c r="F283" i="32"/>
  <c r="G236" i="32"/>
  <c r="D33" i="32"/>
  <c r="G245" i="32"/>
  <c r="G184" i="32"/>
  <c r="G150" i="32"/>
  <c r="F65" i="32"/>
  <c r="G282" i="32"/>
  <c r="F76" i="32"/>
  <c r="G101" i="32"/>
  <c r="F106" i="32"/>
  <c r="F228" i="32"/>
  <c r="G280" i="32"/>
  <c r="F285" i="32"/>
  <c r="F110" i="32"/>
  <c r="G24" i="32"/>
  <c r="F88" i="32"/>
  <c r="F13" i="32"/>
  <c r="F211" i="32"/>
  <c r="D174" i="32"/>
  <c r="G264" i="32"/>
  <c r="D79" i="32"/>
  <c r="G149" i="32"/>
  <c r="G76" i="32"/>
  <c r="F72" i="32"/>
  <c r="F236" i="32"/>
  <c r="F245" i="32"/>
  <c r="G284" i="32"/>
  <c r="F24" i="32"/>
  <c r="G40" i="32"/>
  <c r="G205" i="32"/>
  <c r="G34" i="32"/>
  <c r="G59" i="32"/>
  <c r="G57" i="32"/>
  <c r="D153" i="32"/>
  <c r="F126" i="32"/>
  <c r="F284" i="32"/>
  <c r="D140" i="32"/>
  <c r="D32" i="32"/>
  <c r="F83" i="32"/>
  <c r="G171" i="32"/>
  <c r="G17" i="32"/>
  <c r="F262" i="32"/>
  <c r="F160" i="32"/>
  <c r="F156" i="32"/>
  <c r="D236" i="32"/>
  <c r="G255" i="32"/>
  <c r="G13" i="32"/>
  <c r="G45" i="32"/>
  <c r="G31" i="32"/>
  <c r="D187" i="32"/>
  <c r="D261" i="32"/>
  <c r="G10" i="32"/>
  <c r="F86" i="32"/>
  <c r="F173" i="32"/>
  <c r="G271" i="32"/>
  <c r="E271" i="32" l="1"/>
  <c r="E10" i="32"/>
  <c r="E31" i="32"/>
  <c r="E45" i="32"/>
  <c r="E13" i="32"/>
  <c r="E255" i="32"/>
  <c r="E17" i="32"/>
  <c r="E171" i="32"/>
  <c r="E57" i="32"/>
  <c r="E59" i="32"/>
  <c r="E34" i="32"/>
  <c r="E205" i="32"/>
  <c r="E40" i="32"/>
  <c r="E284" i="32"/>
  <c r="E76" i="32"/>
  <c r="E149" i="32"/>
  <c r="E264" i="32"/>
  <c r="E24" i="32"/>
  <c r="E280" i="32"/>
  <c r="E101" i="32"/>
  <c r="E282" i="32"/>
  <c r="E150" i="32"/>
  <c r="E184" i="32"/>
  <c r="E245" i="32"/>
  <c r="E236" i="32"/>
  <c r="E278" i="32"/>
  <c r="E228" i="32"/>
  <c r="E106" i="32"/>
  <c r="E180" i="32"/>
  <c r="E224" i="32"/>
  <c r="E97" i="32"/>
  <c r="E86" i="32"/>
  <c r="E139" i="32"/>
  <c r="E213" i="32"/>
  <c r="E153" i="32"/>
  <c r="E233" i="32"/>
  <c r="E62" i="32"/>
  <c r="E262" i="32"/>
  <c r="E44" i="32"/>
  <c r="E72" i="32"/>
  <c r="E211" i="32"/>
  <c r="E88" i="32"/>
  <c r="E201" i="32"/>
  <c r="E276" i="32"/>
  <c r="E246" i="32"/>
  <c r="E111" i="32"/>
  <c r="E93" i="32"/>
  <c r="E136" i="32"/>
  <c r="E30" i="32"/>
  <c r="E32" i="32"/>
  <c r="E7" i="32"/>
  <c r="E247" i="32"/>
  <c r="E68" i="32"/>
  <c r="E208" i="32"/>
  <c r="E189" i="32"/>
  <c r="E16" i="32"/>
  <c r="E51" i="32"/>
  <c r="E223" i="32"/>
  <c r="E105" i="32"/>
  <c r="E142" i="32"/>
  <c r="E204" i="32"/>
  <c r="E260" i="32"/>
  <c r="E18" i="32"/>
  <c r="E274" i="32"/>
  <c r="E218" i="32"/>
  <c r="E124" i="32"/>
  <c r="E279" i="32"/>
  <c r="E60" i="32"/>
  <c r="E87" i="32"/>
  <c r="E120" i="32"/>
  <c r="E157" i="32"/>
  <c r="E27" i="32"/>
  <c r="E175" i="32"/>
  <c r="E234" i="32"/>
  <c r="E203" i="32"/>
  <c r="E100" i="32"/>
  <c r="E130" i="32"/>
  <c r="E248" i="32"/>
  <c r="E220" i="32"/>
  <c r="E118" i="32"/>
  <c r="E290" i="32"/>
  <c r="E23" i="32"/>
  <c r="E42" i="32"/>
  <c r="E159" i="32"/>
  <c r="E214" i="32"/>
  <c r="E265" i="32"/>
  <c r="E20" i="32"/>
  <c r="E28" i="32"/>
  <c r="E92" i="32"/>
  <c r="E252" i="32"/>
  <c r="E95" i="32"/>
  <c r="E263" i="32"/>
  <c r="E8" i="32"/>
  <c r="E58" i="32"/>
  <c r="E128" i="32"/>
  <c r="E116" i="32"/>
  <c r="E232" i="32"/>
  <c r="E292" i="32"/>
  <c r="E96" i="32"/>
  <c r="E50" i="32"/>
  <c r="E272" i="32"/>
  <c r="E99" i="32"/>
  <c r="E81" i="32"/>
  <c r="E270" i="32"/>
  <c r="E108" i="32"/>
  <c r="E173" i="32"/>
  <c r="E156" i="32"/>
  <c r="E160" i="32"/>
  <c r="E138" i="32"/>
  <c r="E110" i="32"/>
  <c r="E129" i="32"/>
  <c r="E127" i="32"/>
  <c r="E293" i="32"/>
  <c r="E241" i="32"/>
  <c r="E221" i="32"/>
  <c r="E251" i="32"/>
  <c r="E78" i="32"/>
  <c r="E291" i="32"/>
  <c r="E55" i="32"/>
  <c r="E113" i="32"/>
  <c r="E158" i="32"/>
  <c r="E71" i="32"/>
  <c r="E258" i="32"/>
  <c r="E210" i="32"/>
  <c r="E288" i="32"/>
  <c r="E190" i="32"/>
  <c r="E253" i="32"/>
  <c r="E41" i="32"/>
  <c r="E52" i="32"/>
  <c r="E14" i="32"/>
  <c r="E243" i="32"/>
  <c r="E147" i="32"/>
  <c r="E185" i="32"/>
  <c r="E275" i="32"/>
  <c r="E154" i="32"/>
  <c r="E9" i="32"/>
  <c r="E165" i="32"/>
  <c r="E266" i="32"/>
  <c r="E235" i="32"/>
  <c r="E144" i="32"/>
  <c r="E63" i="32"/>
  <c r="E206" i="32"/>
  <c r="E174" i="32"/>
  <c r="E254" i="32"/>
  <c r="E43" i="32"/>
  <c r="E61" i="32"/>
  <c r="E240" i="32"/>
  <c r="E244" i="32"/>
  <c r="E117" i="32"/>
  <c r="E209" i="32"/>
  <c r="E164" i="32"/>
  <c r="E163" i="32"/>
  <c r="E181" i="32"/>
  <c r="E19" i="32"/>
  <c r="E268" i="32"/>
  <c r="E281" i="32"/>
  <c r="E74" i="32"/>
  <c r="E122" i="32"/>
  <c r="E219" i="32"/>
  <c r="E170" i="32"/>
  <c r="E273" i="32"/>
  <c r="E137" i="32"/>
  <c r="E64" i="32"/>
  <c r="E151" i="32"/>
  <c r="E109" i="32"/>
  <c r="E143" i="32"/>
  <c r="E191" i="32"/>
  <c r="E179" i="32"/>
  <c r="E216" i="32"/>
  <c r="E22" i="32"/>
  <c r="E132" i="32"/>
  <c r="E239" i="32"/>
  <c r="E177" i="32"/>
  <c r="E285" i="32"/>
  <c r="E283" i="32"/>
  <c r="E238" i="32"/>
  <c r="E83" i="32"/>
  <c r="E229" i="32"/>
  <c r="E91" i="32"/>
  <c r="G295" i="32"/>
  <c r="E6" i="32"/>
  <c r="E166" i="32"/>
  <c r="E257" i="32"/>
  <c r="E146" i="32"/>
  <c r="E186" i="32"/>
  <c r="E121" i="32"/>
  <c r="E267" i="32"/>
  <c r="E67" i="32"/>
  <c r="E215" i="32"/>
  <c r="E98" i="32"/>
  <c r="E152" i="32"/>
  <c r="E135" i="32"/>
  <c r="E287" i="32"/>
  <c r="E269" i="32"/>
  <c r="E125" i="32"/>
  <c r="E226" i="32"/>
  <c r="E102" i="32"/>
  <c r="E145" i="32"/>
  <c r="E84" i="32"/>
  <c r="E133" i="32"/>
  <c r="E289" i="32"/>
  <c r="E217" i="32"/>
  <c r="F295" i="32"/>
  <c r="E172" i="32"/>
  <c r="E112" i="32"/>
  <c r="E82" i="32"/>
  <c r="E56" i="32"/>
  <c r="E141" i="32"/>
  <c r="E182" i="32"/>
  <c r="E53" i="32"/>
  <c r="E200" i="32"/>
  <c r="E69" i="32"/>
  <c r="E207" i="32"/>
  <c r="E77" i="32"/>
  <c r="E115" i="32"/>
  <c r="E54" i="32"/>
  <c r="E162" i="32"/>
  <c r="E286" i="32"/>
  <c r="E250" i="32"/>
  <c r="E65" i="32"/>
  <c r="E126" i="32"/>
  <c r="E73" i="32"/>
  <c r="E33" i="32"/>
  <c r="E183" i="32"/>
  <c r="E15" i="32"/>
  <c r="E48" i="32"/>
  <c r="E277" i="32"/>
  <c r="E79" i="32"/>
  <c r="E12" i="32"/>
  <c r="E167" i="32"/>
  <c r="E26" i="32"/>
  <c r="E104" i="32"/>
  <c r="E168" i="32"/>
  <c r="E70" i="32"/>
  <c r="E230" i="32"/>
  <c r="E212" i="32"/>
  <c r="E169" i="32"/>
  <c r="E89" i="32"/>
  <c r="E114" i="32"/>
  <c r="E222" i="32"/>
  <c r="E107" i="32"/>
  <c r="E11" i="32"/>
  <c r="E119" i="32"/>
  <c r="E123" i="32"/>
  <c r="E188" i="32"/>
  <c r="E131" i="32"/>
  <c r="E178" i="32"/>
  <c r="E261" i="32"/>
  <c r="E49" i="32"/>
  <c r="E94" i="32"/>
  <c r="E39" i="32"/>
  <c r="E202" i="32"/>
  <c r="E47" i="32"/>
  <c r="E199" i="32"/>
  <c r="E80" i="32"/>
  <c r="E29" i="32"/>
  <c r="E85" i="32"/>
  <c r="E140" i="32"/>
  <c r="E103" i="32"/>
  <c r="E90" i="32"/>
  <c r="E237" i="32"/>
  <c r="E242" i="32"/>
  <c r="E161" i="32"/>
  <c r="E259" i="32"/>
  <c r="E231" i="32"/>
  <c r="E225" i="32"/>
  <c r="E46" i="32"/>
  <c r="D295" i="32"/>
  <c r="E249" i="32"/>
  <c r="E256" i="32"/>
  <c r="E134" i="32"/>
  <c r="E25" i="32"/>
  <c r="E75" i="32"/>
  <c r="E66" i="32"/>
  <c r="E21" i="32"/>
  <c r="E227" i="32"/>
  <c r="E148" i="32"/>
  <c r="E176" i="32"/>
  <c r="E187" i="32"/>
  <c r="E155" i="32"/>
  <c r="E295" i="32" l="1"/>
  <c r="G296" i="32" s="1"/>
  <c r="G297" i="32" l="1"/>
</calcChain>
</file>

<file path=xl/sharedStrings.xml><?xml version="1.0" encoding="utf-8"?>
<sst xmlns="http://schemas.openxmlformats.org/spreadsheetml/2006/main" count="4631" uniqueCount="4335">
  <si>
    <t>epPrtErrorHistoryReleasedTime</t>
  </si>
  <si>
    <t>hrStorageUsed</t>
  </si>
  <si>
    <t>hrStorageAllocationFailures</t>
  </si>
  <si>
    <t>prtConsoleOnTime</t>
  </si>
  <si>
    <t>prtConsoleOffTime</t>
  </si>
  <si>
    <t>prtConsoleColor</t>
  </si>
  <si>
    <t>prtConsoleDescription</t>
  </si>
  <si>
    <t>prtAlertTrainingLevel</t>
  </si>
  <si>
    <t>prtAlertGroup</t>
  </si>
  <si>
    <t>prtAlertGroupIndex</t>
  </si>
  <si>
    <t>prtAlertCode</t>
  </si>
  <si>
    <t>prtAlertDescription</t>
  </si>
  <si>
    <t>prtAlertTime</t>
  </si>
  <si>
    <t>epPrtBasicProductSerialNumber</t>
  </si>
  <si>
    <t>epPrtPrinterInstallDateAndTime</t>
  </si>
  <si>
    <t>epPrtVersionRelationalIndex</t>
  </si>
  <si>
    <t>epPrtVersionVenderName</t>
  </si>
  <si>
    <t>epPrtVersionSWRunType</t>
  </si>
  <si>
    <t>epPrtVersionSWRunStatus</t>
  </si>
  <si>
    <t>epPrtStandby</t>
  </si>
  <si>
    <t>epPrtTonerError</t>
  </si>
  <si>
    <t>epPrtFinisherPartsChanged</t>
  </si>
  <si>
    <t>epPrtMarkerSuppliesPartsTable</t>
  </si>
  <si>
    <t>epPrtMarkerSuppliesPartsSuppliesIndex</t>
  </si>
  <si>
    <t>epPrtMarkerSuppliesPartsLevel</t>
  </si>
  <si>
    <t>epPrtTokenRingSlotState</t>
  </si>
  <si>
    <t>epPrtTokenRingCardName</t>
  </si>
  <si>
    <t>epPrtUsbIfTable</t>
  </si>
  <si>
    <t>epPrtJobSucceededImpressionNumber</t>
  </si>
  <si>
    <t>epPrtJobSucceededSimplexImpressionNumber</t>
  </si>
  <si>
    <t>epPrtSubOutputSubOutputIndex</t>
  </si>
  <si>
    <t>epPrtSubOutputOnOff</t>
  </si>
  <si>
    <t>epPrtOutputExtPrtOutputIndex</t>
  </si>
  <si>
    <t>epPrtOutputExtCounterDescription</t>
  </si>
  <si>
    <t>epPrtOutputExtCounterUnit</t>
  </si>
  <si>
    <t>epPrtOutputExtCount</t>
  </si>
  <si>
    <t>epPrtFinisherCounterUnit</t>
  </si>
  <si>
    <t>epPrtFinisherCount</t>
  </si>
  <si>
    <t>epPrtFinisherFinishingMode</t>
  </si>
  <si>
    <t>epPrtFinisherCutMode</t>
  </si>
  <si>
    <t>epPrtFinishingModeType</t>
  </si>
  <si>
    <t>epPrtFinishingModeDescr</t>
  </si>
  <si>
    <t>epPrtMediaPathTable</t>
  </si>
  <si>
    <t>epPrtMediaPathCounterUnit</t>
  </si>
  <si>
    <t>epPrtMarkerCounterUnit</t>
  </si>
  <si>
    <t>epPrtMarkerTotalPrinted</t>
  </si>
  <si>
    <t>epPrtMarkerTotalColorPrinted</t>
  </si>
  <si>
    <t>epPrtMarkerTotalPlane</t>
  </si>
  <si>
    <t>epPrtEscPageWwAutoFF</t>
  </si>
  <si>
    <t>epPrtEscPageWwLfFunction</t>
  </si>
  <si>
    <t>epPrtEscPageWwFFFunction</t>
  </si>
  <si>
    <t>epPrtEscPageWwPgi</t>
  </si>
  <si>
    <t>epPrtEscPageWwTriColorSpace</t>
  </si>
  <si>
    <t>epPrtEscPageWwCMMediaType</t>
  </si>
  <si>
    <t>epPrtEscPageTwoByteSettingsTable</t>
  </si>
  <si>
    <t>epPrtEscPageTwoByteInterpreterIndex</t>
  </si>
  <si>
    <t>epPrtEscPageTwoByteAutoCR</t>
  </si>
  <si>
    <t>epPrtEscPageTwoByteAutoFF</t>
  </si>
  <si>
    <t>epPrtEscPageTwoByteCrFunction</t>
  </si>
  <si>
    <t>epPrtEscPageTwoByteLfFunction</t>
  </si>
  <si>
    <t>epPrtEscPageTwoByteFFFunction</t>
  </si>
  <si>
    <t>epPrtMediaType</t>
  </si>
  <si>
    <t>epPrtPaperSizeCounterUnit</t>
  </si>
  <si>
    <t>epPrtPaperSizeCount</t>
  </si>
  <si>
    <t>epPrtPaperSizeProcessColorCount</t>
  </si>
  <si>
    <t>epPrtPaperSizeSpotColorCount</t>
  </si>
  <si>
    <t>epPrtPaperSizeSimplexCount</t>
  </si>
  <si>
    <t>epPrtPaperSizeNullCount</t>
  </si>
  <si>
    <t>epPrtPaperSizeProcessColorSimplexCount</t>
  </si>
  <si>
    <t>epPrtPaperSizeSpotColorSimplexCount</t>
  </si>
  <si>
    <t>epPrtPaperSizeSpotColorDuplexCount</t>
  </si>
  <si>
    <t>epPrtPaperSizeSelectable</t>
  </si>
  <si>
    <t>epPrtPaperSizeWhitePageCount</t>
  </si>
  <si>
    <t>epPrtPaperTypesClass</t>
  </si>
  <si>
    <t>epPrtPaperTypesCounterUnit</t>
  </si>
  <si>
    <t>epPrtPaperTypesCount</t>
  </si>
  <si>
    <t>epPrtPaperTypesSpotColorCount</t>
  </si>
  <si>
    <t>epPrtPaperTypesNullCount</t>
  </si>
  <si>
    <t>epPrtPclSettingsTable</t>
  </si>
  <si>
    <t>epPrtPclInterpreterIndex</t>
  </si>
  <si>
    <t>epPrtPclFontNumber</t>
  </si>
  <si>
    <t>epPrtPclPitch</t>
  </si>
  <si>
    <t>epPrtPclHeight</t>
  </si>
  <si>
    <t>epPrtPclSymset</t>
  </si>
  <si>
    <t>epPrtPclFormLength</t>
  </si>
  <si>
    <t>epPrtStartPage</t>
  </si>
  <si>
    <t>epPrtRitech</t>
  </si>
  <si>
    <t>epPrtTonerSave</t>
  </si>
  <si>
    <t>epPrtDensity</t>
  </si>
  <si>
    <t>epPrtOffsetUnit</t>
  </si>
  <si>
    <t>epPrtTopOffset</t>
  </si>
  <si>
    <t>epPrtLeftOffset</t>
  </si>
  <si>
    <t>epPrtTopOffsetBack</t>
  </si>
  <si>
    <t>epPrtLeftOffsetBack</t>
  </si>
  <si>
    <t>epPrtSerialIfBaudrate</t>
  </si>
  <si>
    <t>epPrtSerialIfParity</t>
  </si>
  <si>
    <t>epPrtSerialIfStopBit</t>
  </si>
  <si>
    <t>epPrtSerialIfDTR</t>
  </si>
  <si>
    <t>epPrtSerialIfDSR</t>
  </si>
  <si>
    <t>epPrtSerialIfEnqAck</t>
  </si>
  <si>
    <t>epPrtSerialIfXflow</t>
  </si>
  <si>
    <t>epPrtTypeBSlotTable</t>
  </si>
  <si>
    <t>epPrtTypeBSlotState</t>
  </si>
  <si>
    <t>epPrtTypeBCardName</t>
  </si>
  <si>
    <t>epPrtTokenRingSlotTable</t>
  </si>
  <si>
    <t>epPrtMarkerColorColorantIndex</t>
  </si>
  <si>
    <t>epPrtMarkerColorName</t>
  </si>
  <si>
    <t>epPrtMarkerColorRgb</t>
  </si>
  <si>
    <t>epPrtMarkerColorRegistrationUnit</t>
  </si>
  <si>
    <t>epPrtMarkerColorMinRegistration</t>
  </si>
  <si>
    <t>epPrtMarkerColorMaxRegistration</t>
  </si>
  <si>
    <t>epPrtMarkerColorRegistration</t>
  </si>
  <si>
    <t>epPrtMarkerColorDotsPerPersent</t>
  </si>
  <si>
    <t>epPrtMarkerColorCoverageDuty</t>
  </si>
  <si>
    <t>epPrtMarkerColorEstimatedImpressionsRemaining</t>
  </si>
  <si>
    <t>epPrtMarkerColorLastJobCoverageDuty</t>
  </si>
  <si>
    <t>epPrtMarkerColorLastImpressionDots</t>
  </si>
  <si>
    <t>epPrtMarkerColorLastJobDots</t>
  </si>
  <si>
    <t>epPrtMarkerColorExtRegistrationTable</t>
  </si>
  <si>
    <t>epPrtMarkerColorExtRegistrationEpPrtMarkerColorIndex</t>
  </si>
  <si>
    <t>epPrtMarkerColorExtRegistrationType</t>
  </si>
  <si>
    <t>epPrtMarkerColorExtRegistrationUnit</t>
  </si>
  <si>
    <t>epPrtMarkerColorExtMinRegistration</t>
  </si>
  <si>
    <t>epPrtMarkerColorExtMaxRegistration</t>
  </si>
  <si>
    <t>epPrtMarkerColorExtRegistration</t>
  </si>
  <si>
    <t>epPrtPaperMemoryNumber</t>
  </si>
  <si>
    <t>epPrtPaperMemoryData1</t>
  </si>
  <si>
    <t>epPrtPaperMemoryData2</t>
  </si>
  <si>
    <t>epPrtMarkerPartsCount</t>
  </si>
  <si>
    <t>epPrtMarkerPartsChanged</t>
  </si>
  <si>
    <t>epPrtMarkerPartsChangedLastTimeCount</t>
  </si>
  <si>
    <t>epPrtMarkerPartsType</t>
  </si>
  <si>
    <t>epPrtMarkerPartsCounterType</t>
  </si>
  <si>
    <t>epPrtMarkerPartsExtTable</t>
  </si>
  <si>
    <t>epPrtMarkerPartsExtCounterDescription</t>
  </si>
  <si>
    <t>epPrtMarkerPartsExtCounterType</t>
  </si>
  <si>
    <t>epPrtMarkerPartsExtCounterUnit</t>
  </si>
  <si>
    <t>epPrtMarkerPartsExtMaxCounter</t>
  </si>
  <si>
    <t>epPrtDisplayPrinterName</t>
  </si>
  <si>
    <t>epPrtFaceUpTray</t>
  </si>
  <si>
    <t>epPrtFinisherbinMode</t>
  </si>
  <si>
    <t>epPrtStandbyOnOff</t>
  </si>
  <si>
    <t>epPrtConsoleDisplayMinContrast</t>
  </si>
  <si>
    <t>epPrtConsoleDisplayMaxContrast</t>
  </si>
  <si>
    <t>epPrtConsoleDisplayContrast</t>
  </si>
  <si>
    <t>epPrtPhysicalOffsetUnit</t>
  </si>
  <si>
    <t>epPrtPhysicalFeedDirMaxOffset</t>
  </si>
  <si>
    <t>epPrtPhysicalFeedDirOffsetInterval</t>
  </si>
  <si>
    <t>epPrtPhysicalXFeedDirMinOffset</t>
  </si>
  <si>
    <t>epPrtPhysicalXFeedDirMaxOffset</t>
  </si>
  <si>
    <t>epPrtEscPageJpTriColorSpace</t>
  </si>
  <si>
    <t>epPrtEscPageJpCMMediaType</t>
  </si>
  <si>
    <t>epPrtEscpSuperSettingsTable</t>
  </si>
  <si>
    <t>epPrtEscpSuperSettingsClass</t>
  </si>
  <si>
    <t>epPrtEscpSuperInterpreterIndex</t>
  </si>
  <si>
    <t>epPrtEscpSuperContinuousPaper</t>
  </si>
  <si>
    <t>epPrtEscpSuperFeedPosition</t>
  </si>
  <si>
    <t>epPrtEscpSuperCountry</t>
  </si>
  <si>
    <t>epPrtEscpSuperZeroChar</t>
  </si>
  <si>
    <t>epPrtEscpSuperPaperPosition</t>
  </si>
  <si>
    <t>epPrtEscpSuperRightMargin</t>
  </si>
  <si>
    <t>epPrtEscpSuperKanjiStyle</t>
  </si>
  <si>
    <t>epPrtEpglSettingsTable</t>
  </si>
  <si>
    <t>epPrtEpglSettingsClass</t>
  </si>
  <si>
    <t>epPrtEpglInterpreterIndex</t>
  </si>
  <si>
    <t>epPrtEpglCommandMode</t>
  </si>
  <si>
    <t>epPrtEpglKanjiSyotai</t>
  </si>
  <si>
    <t>epPrtEpglOrigin</t>
  </si>
  <si>
    <t>epPrtEpglRotate</t>
  </si>
  <si>
    <t>epPrtEpglMirror</t>
  </si>
  <si>
    <t>epPrtEpglAutoScaling</t>
  </si>
  <si>
    <t>epPrtEpglFreeScaling</t>
  </si>
  <si>
    <t>epPrtEpglFreeMagnification</t>
  </si>
  <si>
    <t>epPrtEpglYokoAdjust</t>
  </si>
  <si>
    <t>epPrtEpglTateAdjust</t>
  </si>
  <si>
    <t>epPrtEpglPenMode</t>
  </si>
  <si>
    <t>epPrtEpglPen1Width</t>
  </si>
  <si>
    <t>epPrtEpglPen2Width</t>
  </si>
  <si>
    <t>epPrtEpglPen3Width</t>
  </si>
  <si>
    <t>epPrtEpglPen4Width</t>
  </si>
  <si>
    <t>epPrtEpglPen5Width</t>
  </si>
  <si>
    <t>epPrtEpglPen6Width</t>
  </si>
  <si>
    <t>epPrtEpglPen7Width</t>
  </si>
  <si>
    <t>epPrtEpglPen8Width</t>
  </si>
  <si>
    <t>epPrtEpglPen1Density</t>
  </si>
  <si>
    <t>epPrtEpglPen2Density</t>
  </si>
  <si>
    <t>epPrtEpglPen3Density</t>
  </si>
  <si>
    <t>epPrtEpglPen4Density</t>
  </si>
  <si>
    <t>epPrtEpglPen5Density</t>
  </si>
  <si>
    <t>epPrtErrorHistoryTable</t>
  </si>
  <si>
    <t>epPrtErrorHistoryTotalPrinted</t>
  </si>
  <si>
    <t>epPrtErrorHistoryDescription</t>
  </si>
  <si>
    <t>epPrtErrorHistoryTime</t>
  </si>
  <si>
    <t>epPrtErrorHistoryJamCode</t>
  </si>
  <si>
    <t>epPrtErrorHistoryJamPaperSize</t>
  </si>
  <si>
    <t>epPrtErrorHistoryJamVideoMediaType</t>
  </si>
  <si>
    <t>epPrtErrorHistoryCodeType</t>
  </si>
  <si>
    <t>prtInterpreterVersion</t>
  </si>
  <si>
    <t>epPrtJobPrintingImpressionNumber</t>
  </si>
  <si>
    <t>epPrtJobImpressionNumber</t>
  </si>
  <si>
    <t>epPrtPreheatTimeoutMinData</t>
  </si>
  <si>
    <t>epPrtParallelIfSettingsTable</t>
  </si>
  <si>
    <t>epPrtParallelIfSpeed</t>
  </si>
  <si>
    <t>epPrtParallelIfBid</t>
  </si>
  <si>
    <t>epPrtEscp2ZeroChar</t>
  </si>
  <si>
    <t>epPrtFxSettingsTable</t>
  </si>
  <si>
    <t>epPrtFxSettingsClass</t>
  </si>
  <si>
    <t>epPrtFxInterpreterIndex</t>
  </si>
  <si>
    <t>epPrtFxFont</t>
  </si>
  <si>
    <t>epPrtFxPitch</t>
  </si>
  <si>
    <t>epPrtFxCondensed</t>
  </si>
  <si>
    <t>epPrtFxTopMargin</t>
  </si>
  <si>
    <t>epPrtInputExtTable</t>
  </si>
  <si>
    <t>epPrtInputExtPrtInputIndex</t>
  </si>
  <si>
    <t>epPrtInputExtCounterDescription</t>
  </si>
  <si>
    <t>epPrtInputExtCounterUnit</t>
  </si>
  <si>
    <t>epPrtInputExtCount</t>
  </si>
  <si>
    <t>epPrtOutputTable</t>
  </si>
  <si>
    <t>epPrtOutputCounterUnit</t>
  </si>
  <si>
    <t>epPrtOutputCount</t>
  </si>
  <si>
    <t>epPrtOutputUserName</t>
  </si>
  <si>
    <t>epPrtSubOutputTable</t>
  </si>
  <si>
    <t>epScnScanToMemoryTable</t>
  </si>
  <si>
    <t>epScnScanToMemoryEnable</t>
  </si>
  <si>
    <t>epScnNetworkTwainTable</t>
  </si>
  <si>
    <t>epScnNetworkTwainEnable</t>
  </si>
  <si>
    <t>epScnOperationTable</t>
  </si>
  <si>
    <t>epScnOperationType</t>
  </si>
  <si>
    <t>epScnOperationSetting</t>
  </si>
  <si>
    <t>epScnAlertTrainingLevel</t>
  </si>
  <si>
    <t>epScnAlertCode</t>
  </si>
  <si>
    <t>epScnAlertDescription</t>
  </si>
  <si>
    <t>epScnChangePartsTable</t>
  </si>
  <si>
    <t>epScnChangePartsDescription</t>
  </si>
  <si>
    <t>epScnChangePartsMaxCounter</t>
  </si>
  <si>
    <t>epPrtBackShift</t>
  </si>
  <si>
    <t>epPrtPageProtect</t>
  </si>
  <si>
    <t>epPrtImageOptimum</t>
  </si>
  <si>
    <t>epPrtScale</t>
  </si>
  <si>
    <t>epPrtQuantity</t>
  </si>
  <si>
    <t>epPrtManualFeed</t>
  </si>
  <si>
    <t>epPrtResolution</t>
  </si>
  <si>
    <t>epPrtAutoEjectPage</t>
  </si>
  <si>
    <t>epPrtDotCorrection</t>
  </si>
  <si>
    <t>epPrtPageSide</t>
  </si>
  <si>
    <t>epPrtSupportPaperTypeMode</t>
  </si>
  <si>
    <t>epPrtUserPaperNumber</t>
  </si>
  <si>
    <t>epPrtConvertToBw</t>
  </si>
  <si>
    <t>epPrtEscPageJpPgi</t>
  </si>
  <si>
    <t>epPrtMarkerSuppliesServiceCounter</t>
  </si>
  <si>
    <t>epPrtMarkerSuppliesServiceUsedChanged</t>
  </si>
  <si>
    <t>epPrtMarkerSuppliesSameTypePrtMarkerSuppliesIndex</t>
  </si>
  <si>
    <t>epPrtMarkerSuppliesServiceCsicType</t>
  </si>
  <si>
    <t>epPrtMarkerSuppliesServiceCsic</t>
  </si>
  <si>
    <t>epPrtMarkerSuppliesServiceGenuineChanged</t>
  </si>
  <si>
    <t>epPrtMarkerSuppliesServiceGenuineUsedChanged</t>
  </si>
  <si>
    <t>hrStorageIndex</t>
  </si>
  <si>
    <t>epPrtPclSourceSymset</t>
  </si>
  <si>
    <t>epPrtPclDestinationSymset</t>
  </si>
  <si>
    <t>epPrtPclCrFunction</t>
  </si>
  <si>
    <t>epPrtPclLfFunction</t>
  </si>
  <si>
    <t>epPrtPclTrayAssign</t>
  </si>
  <si>
    <t>epPrtGl2SettingsTable</t>
  </si>
  <si>
    <t>epPrtGl2SettingsClass</t>
  </si>
  <si>
    <t>epPrtGl2InterpreterIndex</t>
  </si>
  <si>
    <t>epPrtGl2GlMode</t>
  </si>
  <si>
    <t>epPrtGl2Scale</t>
  </si>
  <si>
    <t>epPrtGl2Origin</t>
  </si>
  <si>
    <t>epPrtGl2Pen</t>
  </si>
  <si>
    <t>epPrtGl2EndShape</t>
  </si>
  <si>
    <t>epPrtGl2JoinShape</t>
  </si>
  <si>
    <t>epPrtGl2Pen0Width</t>
  </si>
  <si>
    <t>epPrtGl2Pen1Width</t>
  </si>
  <si>
    <t>epPrtGl2Pen2Width</t>
  </si>
  <si>
    <t>epPrtGl2Pen3Width</t>
  </si>
  <si>
    <t>epPrtGl2Pen4Width</t>
  </si>
  <si>
    <t>epPrtGl2Pen5Width</t>
  </si>
  <si>
    <t>epPrtGl2Pen6Width</t>
  </si>
  <si>
    <t>epPrtEscp2SettingsTable</t>
  </si>
  <si>
    <t>epPrtEscp2SettingsClass</t>
  </si>
  <si>
    <t>epPrtEscp2InterpreterIndex</t>
  </si>
  <si>
    <t>epPrtEscp2Font</t>
  </si>
  <si>
    <t>epPrtEscp2Pitch</t>
  </si>
  <si>
    <t>epPrtEscp2Condensed</t>
  </si>
  <si>
    <t>epPrtEscp2TopMargin</t>
  </si>
  <si>
    <t>epPrtEscp2TextLines</t>
  </si>
  <si>
    <t>epPrtEscp2CGTable</t>
  </si>
  <si>
    <t>epPrtEscp2Country</t>
  </si>
  <si>
    <t>epPrtEscp2AutoCr</t>
  </si>
  <si>
    <t>epPrtEscp2AutoLf</t>
  </si>
  <si>
    <t>epPrtEscp2BitImage</t>
  </si>
  <si>
    <t>epPrtMarkerTotalSimplexPrinted</t>
  </si>
  <si>
    <t>epPrtMarkerTotalColorSimplexPrinted</t>
  </si>
  <si>
    <t>epPrtMarkerTotalWhitePagePrinted</t>
  </si>
  <si>
    <t>epPrtMarkerTotalPrintedPerDutyEnd</t>
  </si>
  <si>
    <t>epPrtMarkerTotalPrintedPerNumOfPrintsTable</t>
  </si>
  <si>
    <t>epPrtMarkerTotalPrintedPerNumOfPrintsCounterUnit</t>
  </si>
  <si>
    <t>epPrtMarkerTotalPrintedPerNumOfPrintsEnd</t>
  </si>
  <si>
    <t>epPrtMarkerTotalPrintedPerNumOfPrintsCount</t>
  </si>
  <si>
    <t>epPrtIpdsPrintComplete</t>
  </si>
  <si>
    <t>epPrtIpdsCodePageVersion</t>
  </si>
  <si>
    <t>epPrtIpdsDefaultFont</t>
  </si>
  <si>
    <t>epPrtIpdsFontMap</t>
  </si>
  <si>
    <t>epPrtIpdsTextCompressionRatio</t>
  </si>
  <si>
    <t>epPrtIpdsVerticalMargin</t>
  </si>
  <si>
    <t>epPrtIpdsInputTrayMap</t>
  </si>
  <si>
    <t>epPrtIpdsCommandDump</t>
  </si>
  <si>
    <t>epPrtIpdsOutputMapTable</t>
  </si>
  <si>
    <t>epPrtMediaTableMediaID</t>
  </si>
  <si>
    <t>epHrDeviceName</t>
  </si>
  <si>
    <t>epHrDeviceCurrentLocalization</t>
  </si>
  <si>
    <t>epHrLocalizationCountry</t>
  </si>
  <si>
    <t>epHrLocalizationCharacterSet</t>
  </si>
  <si>
    <t>epHrImageCompression</t>
  </si>
  <si>
    <t>epPrtJobAlertDescription</t>
  </si>
  <si>
    <t>epPrtJobAlertOccurredCollationNumber</t>
  </si>
  <si>
    <t>epPrtJobAlertOccurredImpressionNumber</t>
  </si>
  <si>
    <t>epPrtJobAlertSeverityLevel</t>
  </si>
  <si>
    <t>epPrtJobApplicationDerivedInformationTable</t>
  </si>
  <si>
    <t>epPrtJobApplicationDerivedInformationId</t>
  </si>
  <si>
    <t>epPrtMediaTableDataType</t>
  </si>
  <si>
    <t>epPrtKsKssmSettingsClass</t>
  </si>
  <si>
    <t>epPrtKsKssmInterpreterIndex</t>
  </si>
  <si>
    <t>epPrtEscPageWwSettingsTable</t>
  </si>
  <si>
    <t>epPrtEscPageWwSettingsClass</t>
  </si>
  <si>
    <t>epPrtEscPageWwInterpreterIndex</t>
  </si>
  <si>
    <t>epPrtEscPageWwAutoCR</t>
  </si>
  <si>
    <t>epPrtInputNearEndLevel</t>
  </si>
  <si>
    <t>epPrtInputPaperSizeDetection</t>
  </si>
  <si>
    <t>epPrtMarkerPartsExtCounter</t>
  </si>
  <si>
    <t>epPrtMultibinTable</t>
  </si>
  <si>
    <t>epPrtMultibinFeedCounterUnit</t>
  </si>
  <si>
    <t>epPrtMultibinFeedCount</t>
  </si>
  <si>
    <t>epPrtFinisherPartsTable</t>
  </si>
  <si>
    <t>epPrtFinisherPartsCounterUnit</t>
  </si>
  <si>
    <t>epPrtFinisherPartsCount</t>
  </si>
  <si>
    <t>epPrtJobSucceededColorImpressionNumber</t>
  </si>
  <si>
    <t>epPrtJobReceiveChannel</t>
  </si>
  <si>
    <t>epPrtJobReceiveStartSystemTime</t>
  </si>
  <si>
    <t>epPrtJobInterpretStartSystemTime</t>
  </si>
  <si>
    <t>epPrtJobPrintStartSystemTime</t>
  </si>
  <si>
    <t>epPrtJobReceiveStartTime</t>
  </si>
  <si>
    <t>epPrtJobInterpretStartTime</t>
  </si>
  <si>
    <t>epPrtJobPrintStartTime</t>
  </si>
  <si>
    <t>epPrtJobCollationNumber</t>
  </si>
  <si>
    <t>epPrtJobCollationType</t>
  </si>
  <si>
    <t>epPrtJobCollationRequest</t>
  </si>
  <si>
    <t>epPrtJobRelationJobIndex</t>
  </si>
  <si>
    <t>epPrtJobStateReasons1</t>
  </si>
  <si>
    <t>epPrtJobStateReasons2</t>
  </si>
  <si>
    <t>epPrtJobMarkerSuppliesTable</t>
  </si>
  <si>
    <t>epPrtJobMarkerSuppliesType</t>
  </si>
  <si>
    <t>epPrtJobMarkerSupplyUnit</t>
  </si>
  <si>
    <t>epPrtJobMarkerSuppliesLevel</t>
  </si>
  <si>
    <t>epPrtJobPaperSizeIndex</t>
  </si>
  <si>
    <t>prtChannelCurrentJobCntlLangIndex</t>
  </si>
  <si>
    <t>epPrtMarkerTotalSpotColorPrintedForMono</t>
  </si>
  <si>
    <t>epPrtMarkerTotalNullPrinted</t>
  </si>
  <si>
    <t>epPrtMarkerLastPrintedTime</t>
  </si>
  <si>
    <t>epPrtCopies</t>
  </si>
  <si>
    <t>epPrtUsbIfName</t>
  </si>
  <si>
    <t>epPrtUsbHostIfTable</t>
  </si>
  <si>
    <t>epPrtUsbHostIfState</t>
  </si>
  <si>
    <t>epPrtUsbHostIfProduct</t>
  </si>
  <si>
    <t>epPrtUsbHostIfManufacturer</t>
  </si>
  <si>
    <t>epPrtUsbHostIfID</t>
  </si>
  <si>
    <t>epPrtPhysicalXFeedDirOffsetInterval</t>
  </si>
  <si>
    <t>epPrtPhysicalFeedDirOffset1</t>
  </si>
  <si>
    <t>epPrtPhysicalXFeedDirOffset1</t>
  </si>
  <si>
    <t>epPrtPhysicalFeedDirOffset2</t>
  </si>
  <si>
    <t>epPrtPhysicalXFeedDirOffset2</t>
  </si>
  <si>
    <t>epPrtErrorHistoryMode</t>
  </si>
  <si>
    <t>epPrtRamDiskSize</t>
  </si>
  <si>
    <t>epPrtPreheatMode</t>
  </si>
  <si>
    <t>epPrtPreheatTimeoutMaxData</t>
  </si>
  <si>
    <t>epPrtPreheatTimeoutData</t>
  </si>
  <si>
    <t>epPrtStandby2Table</t>
  </si>
  <si>
    <t>epPrtStandbyMinData</t>
  </si>
  <si>
    <t>epPrtStandbyMaxData</t>
  </si>
  <si>
    <t>epPrtStandbyDataInterval</t>
  </si>
  <si>
    <t>epPrtInterfaceTableIndex</t>
  </si>
  <si>
    <t>epScnChangePartsExtTable</t>
  </si>
  <si>
    <t>epScnChangePartsExtEpScnChangePartsIndex</t>
  </si>
  <si>
    <t>epScnChangePartsExtCounterDescription</t>
  </si>
  <si>
    <t>epScnChangePartsExtCounterType</t>
  </si>
  <si>
    <t>epScnChangePartsExtCounterUnit</t>
  </si>
  <si>
    <t>epScnChangePartsExtMaxCounter</t>
  </si>
  <si>
    <t>epScnChangePartsExtCounter</t>
  </si>
  <si>
    <t>epPrtFinisherSuppliesClass</t>
  </si>
  <si>
    <t>epPrtFinisherSuppliesType</t>
  </si>
  <si>
    <t>epPrtFinisherSuppliesDescr</t>
  </si>
  <si>
    <t>epPrtFinisherSuppliesSupplyUnit</t>
  </si>
  <si>
    <t>epPrtFinisherSuppliesMaxCapacity</t>
  </si>
  <si>
    <t>epPrtFinisherSuppliesLevel</t>
  </si>
  <si>
    <t>epPrtJobTable</t>
  </si>
  <si>
    <t>epPrtJobIndex</t>
  </si>
  <si>
    <t>epPrtJobId</t>
  </si>
  <si>
    <t>epPrtJobTotalPrintingTime</t>
  </si>
  <si>
    <t>epPrtJobReceiveStatus</t>
  </si>
  <si>
    <t>epPrtJobReceiveUnit</t>
  </si>
  <si>
    <t>epPrtJobReceiveSize</t>
  </si>
  <si>
    <t>epPrtJobReceiveTime</t>
  </si>
  <si>
    <t>epPrtJobInterpretingStatus</t>
  </si>
  <si>
    <t>epPrtJobInterpretingTime</t>
  </si>
  <si>
    <t>epPrtJobPrintingStatus</t>
  </si>
  <si>
    <t>epPrtJobPrintingTime</t>
  </si>
  <si>
    <t>epPrtJobControlStatus</t>
  </si>
  <si>
    <t>epPrtJobPrintingCollationNumber</t>
  </si>
  <si>
    <t>epPrtEpglPen6Density</t>
  </si>
  <si>
    <t>epPrtEpglPen7Density</t>
  </si>
  <si>
    <t>epPrtEpglPen8Density</t>
  </si>
  <si>
    <t>epPrtEpglEndShape</t>
  </si>
  <si>
    <t>epPrtEpglJoinShape</t>
  </si>
  <si>
    <t>epPrtEpglMighterLength</t>
  </si>
  <si>
    <t>epPrtEpglOverlay</t>
  </si>
  <si>
    <t>epPrtEpglSpPaperFeed</t>
  </si>
  <si>
    <t>epPrtEpglCaruselNo</t>
  </si>
  <si>
    <t>epPrtEpglPenNo</t>
  </si>
  <si>
    <t>epPrtEpglDividePrint</t>
  </si>
  <si>
    <t>epPrtEpglDivideClip</t>
  </si>
  <si>
    <t>epPrtConfigTable</t>
  </si>
  <si>
    <t>epPrtConfigTableNum</t>
  </si>
  <si>
    <t>epPrtConfigTableIndex</t>
  </si>
  <si>
    <t>epPrtRomModuleSlotTable</t>
  </si>
  <si>
    <t>epPrtRomModuleName</t>
  </si>
  <si>
    <t>epPrtMaintenanceCountCounterUnit</t>
  </si>
  <si>
    <t>epPrtMaintenanceCountTotalJamPrinted</t>
  </si>
  <si>
    <t>epPrtMaintenanceCountTotalSimplexJamPrinted</t>
  </si>
  <si>
    <t>epPrtMaintenanceCountTotalIncompletePrinted</t>
  </si>
  <si>
    <t>epPrtMaintenanceCountTotalPrinted</t>
  </si>
  <si>
    <t>epPrtIpdsOutputMapCode</t>
  </si>
  <si>
    <t>epPrtBgJobTable</t>
  </si>
  <si>
    <t>epPrtBgJobCommandReply</t>
  </si>
  <si>
    <t>epPrtFormOverlayTable</t>
  </si>
  <si>
    <t>epPrtFormOverlayNameFormOverlayLocalizationIndex</t>
  </si>
  <si>
    <t>epPrtFormOverlayFormName</t>
  </si>
  <si>
    <t>epPrtFormOverlayCommentFormOverlayLocalizationIndex</t>
  </si>
  <si>
    <t>epPrtFormOverlayFormComment</t>
  </si>
  <si>
    <t>epPrtFormOverlayDescriptionFormOverlayLocalizationIndex</t>
  </si>
  <si>
    <t>epPrtFormOverlayFormDescription1</t>
  </si>
  <si>
    <t>epPrtFormOverlayFormDescription2</t>
  </si>
  <si>
    <t>epPrtFormOverlayFormDescription3</t>
  </si>
  <si>
    <t>epPrtFormOverlayFormDescription4</t>
  </si>
  <si>
    <t>epPrtFormOverlayPrtInterpreterIndex</t>
  </si>
  <si>
    <t>epPrtFormOverlayDataType</t>
  </si>
  <si>
    <t>epPrtFormOverlayFormManagementData</t>
  </si>
  <si>
    <t>epPrtFormOverlayCreatedDateAndTime</t>
  </si>
  <si>
    <t>epPrtFormOverlayControlSupport</t>
  </si>
  <si>
    <t>epPrtFormOverlayControl</t>
  </si>
  <si>
    <t>epPrtFormOverlayPreviewURI</t>
  </si>
  <si>
    <t>epPrtFormOverlayHrStorageIndex</t>
  </si>
  <si>
    <t>epPrtFormOverlayStorageTypes</t>
  </si>
  <si>
    <t>epPrtFormOverlayLocalizationTable</t>
  </si>
  <si>
    <t>epPrtFormOverlayLocalizationLanguage</t>
  </si>
  <si>
    <t>epPrtFormOverlayLocalizationCountry</t>
  </si>
  <si>
    <t>epPrtFormOverlayLocalizationCharacterSet</t>
  </si>
  <si>
    <t>epPrtConsoleDisplayTable</t>
  </si>
  <si>
    <t>epPrtConsoleDisplayWidth</t>
  </si>
  <si>
    <t>epPrtConsoleDisplayHeight</t>
  </si>
  <si>
    <t>epPrtConsoleDisplayURI</t>
  </si>
  <si>
    <t>epPrtMediaTableData1</t>
  </si>
  <si>
    <t>epPrtMediaTableData2</t>
  </si>
  <si>
    <t>epPrtHistoryTable</t>
  </si>
  <si>
    <t>epPrtHistoryGroup</t>
  </si>
  <si>
    <t>epPrtHistoryGroupIndex</t>
  </si>
  <si>
    <t>epPrtHistoryDateAndTime</t>
  </si>
  <si>
    <t>epPrtHistoryCounterDescription</t>
  </si>
  <si>
    <t>epPrtHistoryCounterUnit</t>
  </si>
  <si>
    <t>epPrtHistoryCounter</t>
  </si>
  <si>
    <t>epPrtHistoryGenuine</t>
  </si>
  <si>
    <t>epPrtHistoryRefill</t>
  </si>
  <si>
    <t>epPrtAlertTable</t>
  </si>
  <si>
    <t>epPrtAlertCode</t>
  </si>
  <si>
    <t>epPrtInterpreterTable</t>
  </si>
  <si>
    <t>epPrtInterpreterCounterUnit</t>
  </si>
  <si>
    <t>epPrtInterpreterPrinted</t>
  </si>
  <si>
    <t>epPrtInterpreterJobs</t>
  </si>
  <si>
    <t>epPrtMarkerSuppliesManufacturer</t>
  </si>
  <si>
    <t>epPrtMarkerSuppliesTotalCountUnit</t>
  </si>
  <si>
    <t>epPrtMarkerSuppliesTotalCount</t>
  </si>
  <si>
    <t>epPrtMarkerSuppliesGenuineTotalCount</t>
  </si>
  <si>
    <t>epPrtMarkerSuppliesRefill</t>
  </si>
  <si>
    <t>epPrtMarkerSuppliesServiceTable</t>
  </si>
  <si>
    <t>epPrtMarkerSuppliesServiceDescription</t>
  </si>
  <si>
    <t>epPrtMarkerSuppliesServiceCounterDescription</t>
  </si>
  <si>
    <t>epPrtMarkerSuppliesServiceCounterType</t>
  </si>
  <si>
    <t>epPrtMarkerSuppliesServiceCounterUnit</t>
  </si>
  <si>
    <t>epPrtMarkerSuppliesServiceMaxCounter</t>
  </si>
  <si>
    <t>epPrtFxTextLines</t>
  </si>
  <si>
    <t>epPrtFxCGTable</t>
  </si>
  <si>
    <t>epPrtFxCountry</t>
  </si>
  <si>
    <t>epPrtFxAutoCr</t>
  </si>
  <si>
    <t>epPrtFxAutoLf</t>
  </si>
  <si>
    <t>epPrtFxBitImage</t>
  </si>
  <si>
    <t>epPrtFxZeroChar</t>
  </si>
  <si>
    <t>epPrtI239xSettingsTable</t>
  </si>
  <si>
    <t>epPrtI239xSettingsClass</t>
  </si>
  <si>
    <t>epPrtI239xInterpreterIndex</t>
  </si>
  <si>
    <t>epPrtI239xFont</t>
  </si>
  <si>
    <t>epPrtI239xPitch</t>
  </si>
  <si>
    <t>epPrtI239xCodePage</t>
  </si>
  <si>
    <t>epPrtI239xTopMargin</t>
  </si>
  <si>
    <t>epPrtI239xTextLines</t>
  </si>
  <si>
    <t>epPrtI239xAutoCr</t>
  </si>
  <si>
    <t>epPrtI239xAutoLf</t>
  </si>
  <si>
    <t>epPrtI239xAltGraphics</t>
  </si>
  <si>
    <t>epPrtI239xBitImage</t>
  </si>
  <si>
    <t>epPrtI239xZeroChar</t>
  </si>
  <si>
    <t>epPrtI239xCharSet</t>
  </si>
  <si>
    <t>epPrtPsSettingsTable</t>
  </si>
  <si>
    <t>epPrtPsSettingsClass</t>
  </si>
  <si>
    <t>epPrtPsInterpreterIndex</t>
  </si>
  <si>
    <t>epPrtPsErrorSheet</t>
  </si>
  <si>
    <t>epPrtPsBinary</t>
  </si>
  <si>
    <t>epPrtPsPdfPageSize</t>
  </si>
  <si>
    <t>epPrtEscpTwoByteSettingsTable</t>
  </si>
  <si>
    <t>epPrtEscpTwoByteFont</t>
  </si>
  <si>
    <t>epPrtEscpTwoByteHanjiMode</t>
  </si>
  <si>
    <t>epPrtEscpTwoByteHanjiCode</t>
  </si>
  <si>
    <t>epPrtEscpTwoBytePitch</t>
  </si>
  <si>
    <t>epPrtEscpTwoByteTopMargine</t>
  </si>
  <si>
    <t>epPrtD4EpsonCtrlChCommandReply</t>
  </si>
  <si>
    <t>epPrtMediaPathPartsTable</t>
  </si>
  <si>
    <t>epPrtMediaPathPartsName</t>
  </si>
  <si>
    <t>epPrtMediaPathPartsType</t>
  </si>
  <si>
    <t>epPrtMediaPathPartsCounterUnit</t>
  </si>
  <si>
    <t>epPrtMediaPathPartsCount</t>
  </si>
  <si>
    <t>epPrtMediaPathPartsMaxCount</t>
  </si>
  <si>
    <t>epPrtMediaPathPartsCounterType</t>
  </si>
  <si>
    <t>epPrtMediaTableTable</t>
  </si>
  <si>
    <t>epPrtInputCounterUnit</t>
  </si>
  <si>
    <t>epPrtInputCount</t>
  </si>
  <si>
    <t>epPrtInputRollerChanged</t>
  </si>
  <si>
    <t>epPrtInputAutoPaperSize</t>
  </si>
  <si>
    <t>epPrtSerialIfBufferSize</t>
  </si>
  <si>
    <t>epPrtAuxIfSettingsTable</t>
  </si>
  <si>
    <t>epPrtAuxIfBufferSize</t>
  </si>
  <si>
    <t>epPrtEthernetIfSettingsTable</t>
  </si>
  <si>
    <t>epPrtEthernetIfBufferSize</t>
  </si>
  <si>
    <t>epPrtMacSerialIfSettingsTable</t>
  </si>
  <si>
    <t>epPrtMacSerialIfBufferSize</t>
  </si>
  <si>
    <t>epPrtMacSerialIfClock</t>
  </si>
  <si>
    <t>epPrtUsbIfSettingsTable</t>
  </si>
  <si>
    <t>epPrtUsbIfBufferSize</t>
  </si>
  <si>
    <t>epPrtAutoShutdownTimeoutMinData</t>
  </si>
  <si>
    <t>epPrtMaintenancePaperSizeShortEdgeFeedCount</t>
  </si>
  <si>
    <t>hrDeviceErrors</t>
  </si>
  <si>
    <t>prtGeneralServicePerson</t>
  </si>
  <si>
    <t>prtOutputDefaultIndex</t>
  </si>
  <si>
    <t>prtMarkerDefaultIndex</t>
  </si>
  <si>
    <t>prtMediaPathDefaultIndex</t>
  </si>
  <si>
    <t>prtConsoleNumberOfDisplayChars</t>
  </si>
  <si>
    <t>hrPrinterStatus</t>
  </si>
  <si>
    <t>hrPrinterDetectedErrorState</t>
  </si>
  <si>
    <t>epJpGeneralTable</t>
  </si>
  <si>
    <t>epJpJobIDTable</t>
  </si>
  <si>
    <t>epJpJobAlertTable</t>
  </si>
  <si>
    <t>epPrtEscpTwoByteText</t>
  </si>
  <si>
    <t>epPrtEscpTwoByteMaxMargin</t>
  </si>
  <si>
    <t>epPrtEscpTwoByteCountry</t>
  </si>
  <si>
    <t>epPrtEscpTwoByteAutoCR</t>
  </si>
  <si>
    <t>epPrtEscpTwoByteBitImage</t>
  </si>
  <si>
    <t>epPrtEscpTwoByteScale</t>
  </si>
  <si>
    <t>epPrtEscpTwoByteAvoidError</t>
  </si>
  <si>
    <t>epPrtKsKssmSettingsTable</t>
  </si>
  <si>
    <t>epPrtJobApplicationDerivedInformationMachineName</t>
  </si>
  <si>
    <t>epPrtJobApplicationDerivedInformationUserName</t>
  </si>
  <si>
    <t>epPrtJobApplicationDerivedInformationDocumentName</t>
  </si>
  <si>
    <t>epPrtJobApplicationDerivedInformationDriverName</t>
  </si>
  <si>
    <t>epPrtJobApplicationDerivedInformationPriority</t>
  </si>
  <si>
    <t>epPrtJobApplicationDerivedInformationDate</t>
  </si>
  <si>
    <t>epPrtJobApplicationDerivedInformationCustom</t>
  </si>
  <si>
    <t>epPrtJobApplicationDerivedInformationPrintSetting</t>
  </si>
  <si>
    <t>epPrtJobApplicationDerivedInformationPending</t>
  </si>
  <si>
    <t>epPrtJobApplicationDerivedInformationKeepJob</t>
  </si>
  <si>
    <t>epPrtJobApplicationDerivedInformationTitle</t>
  </si>
  <si>
    <t>epPrtJobApplicationDerivedInformationFileName</t>
  </si>
  <si>
    <t>epPrtJobApplicationDerivedInformationApplicationName</t>
  </si>
  <si>
    <t>epPrtJobApplicationDerivedInformationQuntity</t>
  </si>
  <si>
    <t>epPrtJobApplicationDerivedInformationPages</t>
  </si>
  <si>
    <t>epPrtJobApplicationDerivedInformationOsName</t>
  </si>
  <si>
    <t>epPrtJobApplicationDerivedInformationCharCode</t>
  </si>
  <si>
    <t>epPrtJobApplicationDerivedInformationEpsonId</t>
  </si>
  <si>
    <t>epPrtJobApplicationDerivedInformationUID</t>
  </si>
  <si>
    <t>epPrtJobApplicationDerivedInformationPreview</t>
  </si>
  <si>
    <t>epPrtJobGeneralTable</t>
  </si>
  <si>
    <t>epPrtJobEntryCount</t>
  </si>
  <si>
    <t>epPrtJobControlSupport</t>
  </si>
  <si>
    <t>epPrtIpdsSettingsTable</t>
  </si>
  <si>
    <t>epPrtIpdsSettingsClass</t>
  </si>
  <si>
    <t>epPrtIpdsInterpreterIndex</t>
  </si>
  <si>
    <t>epPrtIpdsSettingsEmulation</t>
  </si>
  <si>
    <t>epPrtIpdsOverlay</t>
  </si>
  <si>
    <t>prtStorageRefIndex</t>
  </si>
  <si>
    <t>prtDeviceRefIndex</t>
  </si>
  <si>
    <t>prtInputDimUnit</t>
  </si>
  <si>
    <t>prtMarkerAddressabilityFeedDir</t>
  </si>
  <si>
    <t>prtMarkerAddressabilityXFeedDir</t>
  </si>
  <si>
    <t>prtMarkerSouthMargin</t>
  </si>
  <si>
    <t>prtMarkerWestMargin</t>
  </si>
  <si>
    <t>prtMarkerEastMargin</t>
  </si>
  <si>
    <t>epHrCommonVolumeMaxVolume</t>
  </si>
  <si>
    <t>epHrCommonVolumeMinVolume</t>
  </si>
  <si>
    <t>epHrAuthEnable</t>
  </si>
  <si>
    <t>epHrAuthMode</t>
  </si>
  <si>
    <t>epHrAuthServerAddress</t>
  </si>
  <si>
    <t>epHrAuthServerConnectionStatus</t>
  </si>
  <si>
    <t>epHrAuthModeStatus</t>
  </si>
  <si>
    <t>epHrAuthDeviceTable</t>
  </si>
  <si>
    <t>epHrAuthDeviceConnection</t>
  </si>
  <si>
    <t>epHrAuthDeviceDiscription</t>
  </si>
  <si>
    <t>epHrAuthDeviceStatus</t>
  </si>
  <si>
    <t>epHrMailAuthenticationType</t>
  </si>
  <si>
    <t>epHrMailAuthenticationAcount</t>
  </si>
  <si>
    <t>epHrMailAuthenticationPassword</t>
  </si>
  <si>
    <t>epHrMailSenderAddress</t>
  </si>
  <si>
    <t>epHrMailSmtpServerAddress</t>
  </si>
  <si>
    <t>epHrMailSmtpServerPortNumber</t>
  </si>
  <si>
    <t>epHrMailPop3ServerAddress</t>
  </si>
  <si>
    <t>epHrMailPop3ServerPortNumber</t>
  </si>
  <si>
    <t>epHrMailAddressName</t>
  </si>
  <si>
    <t>epHrMailAddressNameInKana</t>
  </si>
  <si>
    <t>epHrMailAddress</t>
  </si>
  <si>
    <t>epHrFolderAddressName</t>
  </si>
  <si>
    <t>epHrFolderAddressNameInKana</t>
  </si>
  <si>
    <t>epHrFolderAddress2</t>
  </si>
  <si>
    <t>epHrFolderAuthenticationName</t>
  </si>
  <si>
    <t>epPrtMarkerSuppliesPartsCounterDescription</t>
  </si>
  <si>
    <t>epPrtMarkerSuppliesPartsCounterType</t>
  </si>
  <si>
    <t>epPrtMarkerSuppliesPartsCounterUnit</t>
  </si>
  <si>
    <t>epPrtGeneralMaintenanceTable</t>
  </si>
  <si>
    <t>epPrtGeneralMaintenanceJamCounter</t>
  </si>
  <si>
    <t>epPrtGeneralMaintenanceRollerMinTiming</t>
  </si>
  <si>
    <t>epPrtGeneralMaintenanceRollerMaxTiming</t>
  </si>
  <si>
    <t>epPrtGeneralMaintenanceRollerTiming</t>
  </si>
  <si>
    <t>epPrtGeneralMaintenanceCleanerMinTiming</t>
  </si>
  <si>
    <t>epPrtGeneralMaintenanceCleanerMaxTiming</t>
  </si>
  <si>
    <t>epPrtGeneralMaintenanceCleanerTiming</t>
  </si>
  <si>
    <t>epPrtGeneralMaintenanceSimplexJamCounter</t>
  </si>
  <si>
    <t>epPrtMaintenanceCountTable</t>
  </si>
  <si>
    <t>epPrtUsbIfSpeedMode</t>
  </si>
  <si>
    <t>epPrtTokenRingIfSettingsTable</t>
  </si>
  <si>
    <t>epPrtTokenRingIfBufferSize</t>
  </si>
  <si>
    <t>epPrtUsbHostIfSettingsTable</t>
  </si>
  <si>
    <t>epPrtUsbHostIfDetection</t>
  </si>
  <si>
    <t>epPrtGeneralSettingsClass</t>
  </si>
  <si>
    <t>epPrtPageSize</t>
  </si>
  <si>
    <t>epPrtWideA4</t>
  </si>
  <si>
    <t>epPrtMaintenanceCountTotalColorPrinted</t>
  </si>
  <si>
    <t>epPrtMaintenanceCountTotalNullPrinted</t>
  </si>
  <si>
    <t>epPrtMaintenancePaperSizeTable</t>
  </si>
  <si>
    <t>epPrtMaintenancePaperSizeCounterUnit</t>
  </si>
  <si>
    <t>epPrtMaintenancePaperSizeCount</t>
  </si>
  <si>
    <t>prtMarkerSuppliesMarkerIndex</t>
  </si>
  <si>
    <t>prtMarkerSuppliesClass</t>
  </si>
  <si>
    <t>prtMarkerColorantMarkerIndex</t>
  </si>
  <si>
    <t>prtMarkerColorantRole</t>
  </si>
  <si>
    <t>epScnVersionNumber</t>
  </si>
  <si>
    <t>epScnVersionDescription</t>
  </si>
  <si>
    <t>epScnOptionType</t>
  </si>
  <si>
    <t>epScnOptionConnection</t>
  </si>
  <si>
    <t>epScnInputTotalScanned</t>
  </si>
  <si>
    <t>epScnInputTotalDuplexScanned</t>
  </si>
  <si>
    <t>epScnInputTotalJamCount</t>
  </si>
  <si>
    <t>prtOutputCapacityUnit</t>
  </si>
  <si>
    <t>prtMarkerStatus</t>
  </si>
  <si>
    <t>epPrtEscPageTwoByteErrorCode</t>
  </si>
  <si>
    <t>epPrtEscPageTwoBytePageScale</t>
  </si>
  <si>
    <t>epPrtEscPageTwoByteAvoidError</t>
  </si>
  <si>
    <t>epPrtEscPageJpSettingsTable</t>
  </si>
  <si>
    <t>epPrtEscPageJpSettingsClass</t>
  </si>
  <si>
    <t>epPrtEscPageJpInterpreterIndex</t>
  </si>
  <si>
    <t>epPrtEscPageJpAutoCR</t>
  </si>
  <si>
    <t>epPrtEscPageJpAutoFF</t>
  </si>
  <si>
    <t>epPrtEscPageJpCrFunction</t>
  </si>
  <si>
    <t>epPrtEscPageJpLfFunction</t>
  </si>
  <si>
    <t>epPrtEscPageJpFFFunction</t>
  </si>
  <si>
    <t>epPrtEscPageJpErrorCode</t>
  </si>
  <si>
    <t>epPrtEscPageJpFontType</t>
  </si>
  <si>
    <t>epPrtEscPageJpFormOverlay</t>
  </si>
  <si>
    <t>epPrtEscPageJpFormNo</t>
  </si>
  <si>
    <t>epPrtJobPaperTypeIndex</t>
  </si>
  <si>
    <t>epPrtJobPaperSuppliesCounterUnit</t>
  </si>
  <si>
    <t>epPrtJobPaperSuppliesLevel</t>
  </si>
  <si>
    <t>epPrtJobAlertStatus</t>
  </si>
  <si>
    <t>epPrtHaventMarkerSuppliesServiceCounterDescription</t>
  </si>
  <si>
    <t>epHrMailAddrMaxAddresses</t>
  </si>
  <si>
    <t>epHrMailAddrMaxGroups</t>
  </si>
  <si>
    <t>epHrMailAddressRegistState</t>
  </si>
  <si>
    <t>epHrMailGroupRegistState</t>
  </si>
  <si>
    <t>epHrMailAddressLockState</t>
  </si>
  <si>
    <t>epHrMailGroupLockState</t>
  </si>
  <si>
    <t>1.3.6.1.4.1.1248.1.2.2.2.1.1.6.1.4</t>
  </si>
  <si>
    <t>1.3.6.1.4.1.1248.1.2.2.28.1.1.5.1.1</t>
  </si>
  <si>
    <t>1.3.6.1.4.1.1248.1.2.2.30.1.1.2.1.1</t>
  </si>
  <si>
    <t>1.3.6.1.4.1.1248.1.2.2.30.1.1.3.1.1</t>
  </si>
  <si>
    <t>1.3.6.1.4.1.1248.1.2.2.30.1.1.4.1.1</t>
  </si>
  <si>
    <t>1.3.6.1.4.1.1248.1.2.2.30.1.1.5.1.1</t>
  </si>
  <si>
    <t>1.3.6.1.4.1.1248.1.2.2.49.2.1.2.1.1</t>
  </si>
  <si>
    <t>1.3.6.1.4.1.1248.1.2.2.49.2.1.3.1.1</t>
  </si>
  <si>
    <t>epPrtMarkerColorCoverageLastJobDuty</t>
  </si>
  <si>
    <t>epPrtMarkerColorCoverageTermDuty</t>
  </si>
  <si>
    <t>epPrtMarkerColorCoverageVerification</t>
  </si>
  <si>
    <t>epPrtLifeCountWarning</t>
  </si>
  <si>
    <t>epPrtStandbyTimeoutSelect</t>
  </si>
  <si>
    <t>epPrtStandbyTimeoutSelectSupport</t>
  </si>
  <si>
    <t>epPrtStandbyTimeoutMode</t>
  </si>
  <si>
    <t>epPrtStandbyTimeoutModeSupport</t>
  </si>
  <si>
    <t>1.3.6.1.4.1.1248.1.2.2.21.1.1.2.1.1</t>
  </si>
  <si>
    <t>1.3.6.1.2.1.43.6.1.1.2.1.1</t>
  </si>
  <si>
    <t>1.3.6.1.2.1.43.8.2.1.2.1.1</t>
  </si>
  <si>
    <t>1.3.6.1.2.1.43.8.2.1.9.1.1</t>
  </si>
  <si>
    <t>1.3.6.1.2.1.43.8.2.1.11.1.1</t>
  </si>
  <si>
    <t>1.3.6.1.2.1.43.8.2.1.13.1.1</t>
  </si>
  <si>
    <t>1.3.6.1.2.1.43.11.1.1.3.1.1</t>
  </si>
  <si>
    <t>1.3.6.1.2.1.43.11.1.1.6.1.1</t>
  </si>
  <si>
    <t>1.3.6.1.2.1.43.12.1.1.4.1.1</t>
  </si>
  <si>
    <t>1.3.6.1.2.1.43.13.4.1.5.1.1</t>
  </si>
  <si>
    <t>1.3.6.1.2.1.43.13.4.1.6.1.1</t>
  </si>
  <si>
    <t>1.3.6.1.2.1.43.13.4.1.7.1.1</t>
  </si>
  <si>
    <t>1.3.6.1.2.1.43.13.4.1.8.1.1</t>
  </si>
  <si>
    <t>1.3.6.1.2.1.43.13.4.1.9.1.1</t>
  </si>
  <si>
    <t>1.3.6.1.2.1.43.13.4.1.10.1.1</t>
  </si>
  <si>
    <t>1.3.6.1.2.1.43.13.4.1.11.1.1</t>
  </si>
  <si>
    <t>1.3.6.1.2.1.43.14.1.1.2.1.1</t>
  </si>
  <si>
    <t>1.3.6.1.2.1.43.14.1.1.3.1.1</t>
  </si>
  <si>
    <t>1.3.6.1.2.1.43.14.1.1.5.1.1</t>
  </si>
  <si>
    <t>1.3.6.1.2.1.43.14.1.1.6.1.1</t>
  </si>
  <si>
    <t>1.3.6.1.2.1.43.15.1.1.2.1.1</t>
  </si>
  <si>
    <t>1.3.6.1.2.1.43.15.1.1.3.1.1</t>
  </si>
  <si>
    <t>1.3.6.1.2.1.43.15.1.1.4.1.1</t>
  </si>
  <si>
    <t>1.3.6.1.2.1.43.15.1.1.5.1.1</t>
  </si>
  <si>
    <t>1.3.6.1.2.1.43.15.1.1.6.1.1</t>
  </si>
  <si>
    <t>1.3.6.1.2.1.43.15.1.1.7.1.1</t>
  </si>
  <si>
    <t>1.3.6.1.2.1.43.15.1.1.8.1.1</t>
  </si>
  <si>
    <t>1.3.6.1.2.1.43.15.1.1.9.1.1</t>
  </si>
  <si>
    <t>1.3.6.1.2.1.43.15.1.1.10.1.1</t>
  </si>
  <si>
    <t>1.3.6.1.2.1.43.15.1.1.11.1.1</t>
  </si>
  <si>
    <t>1.3.6.1.2.1.43.15.1.1.12.1.1</t>
  </si>
  <si>
    <t>1.3.6.1.4.1.1248.1.2.2.2.1.1.2.1.1</t>
  </si>
  <si>
    <t>1.3.6.1.4.1.1248.1.2.2.2.1.1.3.1.1</t>
  </si>
  <si>
    <t>1.3.6.1.4.1.1248.1.2.2.2.1.1.5.1.1</t>
  </si>
  <si>
    <t>1.3.6.1.4.1.1248.1.2.2.4.1.1.2.1.1</t>
  </si>
  <si>
    <t>1.3.6.1.4.1.1248.1.2.2.4.1.1.3.1.1</t>
  </si>
  <si>
    <t>1.3.6.1.4.1.1248.1.2.2.4.1.1.4.1.1</t>
  </si>
  <si>
    <t>1.3.6.1.4.1.1248.1.2.2.4.1.1.5.1.1</t>
  </si>
  <si>
    <t>1.3.6.1.4.1.1248.1.2.2.23.1.1.2.1.1</t>
  </si>
  <si>
    <t>1.3.6.1.4.1.1248.1.2.2.23.1.1.4.1.1</t>
  </si>
  <si>
    <t>1.3.6.1.4.1.1248.1.2.2.23.1.1.5.1.1</t>
  </si>
  <si>
    <t>1.3.6.1.4.1.1248.1.2.2.23.1.1.6.1.1</t>
  </si>
  <si>
    <t>1.3.6.1.4.1.1248.1.2.2.23.1.1.9.1.1</t>
  </si>
  <si>
    <t>1.3.6.1.4.1.1248.1.2.2.23.1.1.13.1.1</t>
  </si>
  <si>
    <t>1.3.6.1.4.1.1248.1.2.2.23.1.1.14.1.1</t>
  </si>
  <si>
    <t>1.3.6.1.2.1.25.2.3.1.3.1</t>
  </si>
  <si>
    <t>1.3.6.1.2.1.25.2.3.1.4.1</t>
  </si>
  <si>
    <t>1.3.6.1.2.1.25.2.3.1.5.1</t>
  </si>
  <si>
    <t>1.3.6.1.2.1.25.2.3.1.6.1</t>
  </si>
  <si>
    <t>1.3.6.1.2.1.25.2.3.1.7.1</t>
  </si>
  <si>
    <t>prtAuxiliarySheetBannerPage</t>
  </si>
  <si>
    <t>prtGeneralPrinterName</t>
  </si>
  <si>
    <t>prtAlertCriticalEvents</t>
  </si>
  <si>
    <t>prtAlertAllEvents</t>
  </si>
  <si>
    <t>epPrtGeneralInputAutoSelectCassetteOrder</t>
  </si>
  <si>
    <t>epPrtGeneralInputCassetteWarningSetting</t>
  </si>
  <si>
    <t>epPrtFinisherDeviceID</t>
  </si>
  <si>
    <t>epPrtFinisherDeviceMiddleUnitID</t>
  </si>
  <si>
    <t>epHrAutoClearJobSettingsMinTimeoutValue</t>
  </si>
  <si>
    <t>epHrPasswordPolicyMinimumDigitSupport</t>
  </si>
  <si>
    <t>epHrPasswordPolicyMinimumDigit</t>
  </si>
  <si>
    <t>epHrPasswordPolicySettingSupport</t>
  </si>
  <si>
    <t>epHrPasswordPolicySetting</t>
  </si>
  <si>
    <t>epPrtFinisherDeviceCounterUnit</t>
  </si>
  <si>
    <t>epPrtFinisherDeviceCount</t>
  </si>
  <si>
    <t>epPrtMarkerColorCoverageTermISODuty</t>
  </si>
  <si>
    <t>prtLocalizationCountry</t>
  </si>
  <si>
    <t>epHrAlertSeverityLevel</t>
  </si>
  <si>
    <t>epHrAlertTrainingLevel</t>
  </si>
  <si>
    <t>epHrAlertCode</t>
  </si>
  <si>
    <t>epHrAlertDescription</t>
  </si>
  <si>
    <t>epPrtOutputFuncSelectableTable</t>
    <phoneticPr fontId="2"/>
  </si>
  <si>
    <t>epHrOpenPlatformEmgTable</t>
  </si>
  <si>
    <t>epHrOpenPlatformEmgEmergencyModeEnable</t>
  </si>
  <si>
    <t>epHrOpenPlatformEmgUsageLimitDisablementEnable</t>
  </si>
  <si>
    <t>epHrOpenPlatformEmgUsageLimitUnauthorizedDataPrintAndScanEnable</t>
  </si>
  <si>
    <t>epHrOpenPlatformEmgIpsecIpFilteringDisablementEnable</t>
  </si>
  <si>
    <t>epHrOpenPlatformEmgWSDEnablementEnable</t>
  </si>
  <si>
    <t>epHrOpenPlatformEmgUsageLimitUserTable</t>
  </si>
  <si>
    <t>epHrOpenPlatformEmgUsageLimitUserRegistEnable</t>
  </si>
  <si>
    <t>epHrOpenPlatformEmgUsageLimitUserUserIndex</t>
  </si>
  <si>
    <t>epHrOpenPlatformEmgUsageLimitUserName</t>
  </si>
  <si>
    <t>epHrOpenPlatformEmgUsageLimitUserPassword</t>
  </si>
  <si>
    <t>epHrOpenPlatformEmgUsageLimitUserFunction</t>
  </si>
  <si>
    <t>epHrOpenPlatformEmergencyUsageLimitUserColorEnable</t>
  </si>
  <si>
    <t>epPrtOutputFuncDestination</t>
  </si>
  <si>
    <t>epPrtOutputFuncSelectableDestIndex</t>
  </si>
  <si>
    <t>epPrtPersonalName</t>
  </si>
  <si>
    <t>1.3.6.1.4.1.1248.1.2.2.27.3.1.3.1.1.1</t>
  </si>
  <si>
    <t>1.3.6.1.4.1.1248.1.2.2.27.3.1.4.1.1.1</t>
  </si>
  <si>
    <t>prtAlertTable</t>
    <phoneticPr fontId="2"/>
  </si>
  <si>
    <t>epPrtCleaningTypeType</t>
  </si>
  <si>
    <t>epPrtCleaningTypeLevel</t>
  </si>
  <si>
    <t>epPrtDisconnectedShutdownEnable</t>
  </si>
  <si>
    <t>epPrtPaperSize2ProcessColorSimplexCount2</t>
  </si>
  <si>
    <t>epPrtMarkerDailyPrintedHistoryTime</t>
  </si>
  <si>
    <t>epPrtMarkerSuppliesCartridgeHistoryUID</t>
  </si>
  <si>
    <t>epPrtMarkerSuppliesCartridgeHistoryUsageCount</t>
  </si>
  <si>
    <t>epPrtInterpreterExtPrinted</t>
  </si>
  <si>
    <t>epPrtConsumableSupplyType</t>
  </si>
  <si>
    <t>epPrtConsumableSupplyModelNumber</t>
  </si>
  <si>
    <t>epPrtConsumableSupplyUsageTable</t>
  </si>
  <si>
    <t>1.3.6.1.4.1.1248.1.2.2.50.2.1.2.1.1</t>
  </si>
  <si>
    <t>1.3.6.1.4.1.1248.1.2.2.50.2.1.3.1.1</t>
  </si>
  <si>
    <t>1.3.6.1.4.1.1248.1.2.2.50.2.1.4.1.8</t>
  </si>
  <si>
    <t>epHrEmbeddedAgentSettingsStatus</t>
  </si>
  <si>
    <t>epHrEmbeddedAgentAdminDestSettingType</t>
  </si>
  <si>
    <t>1.3.6.1.4.1.1248.1.8.2.21.2.1.1</t>
  </si>
  <si>
    <t>epHrEmbeddedAgentAdminDestSetting</t>
  </si>
  <si>
    <t>1.3.6.1.4.1.1248.1.8.2.21.2.1.2</t>
  </si>
  <si>
    <t>epHrLocalAuthTable</t>
  </si>
  <si>
    <t>epHrLocalAuthVersion</t>
  </si>
  <si>
    <t>epHrLocalAuthActivationProductKey</t>
  </si>
  <si>
    <t>epHrLocalAuthVersionSelectableValue</t>
  </si>
  <si>
    <t>epHrSupportServiceTable</t>
  </si>
  <si>
    <t>epHrEmbeddedAgentSettingsRouteSupport</t>
  </si>
  <si>
    <t>epHrEmbeddedAgentSettingsRoute</t>
  </si>
  <si>
    <t>epHrEmbeddedAgentSettingsEnableCutoffDateSupport</t>
  </si>
  <si>
    <t>epHrEmbeddedAgentSettingsEnableCutoffDate</t>
  </si>
  <si>
    <t>epHrEmbeddedAgentSettingsMinCollectionMinuteInterval</t>
  </si>
  <si>
    <t>epHrEmbeddedAgentSettingsMaxCollectionMinuteInterval</t>
  </si>
  <si>
    <t>epHrEmbeddedAgentSettingsCollectionMinuteInterval</t>
  </si>
  <si>
    <t>epHrEmbeddedAgentSettingsMaxCollectionHourInterval</t>
  </si>
  <si>
    <t>epHrEmbeddedAgentSettingsCollectionHourInterval</t>
  </si>
  <si>
    <t>epHrEmbeddedAgentSettingsCollectionTime</t>
  </si>
  <si>
    <t>epHrEmbeddedAgentSettingsCollectionDay</t>
  </si>
  <si>
    <t>epHrEmbeddedAgentSettingsMaxSendStopConfirmMinuteInterval</t>
  </si>
  <si>
    <t>hrStorageType</t>
  </si>
  <si>
    <t>1.3.6.1.2.1.25.2.3.1.2.1</t>
  </si>
  <si>
    <t>1.3.6.1.2.1.25.3.2.1.1.1</t>
  </si>
  <si>
    <t>1.3.6.1.2.1.25.3.2.1.2.1</t>
  </si>
  <si>
    <t>1.3.6.1.2.1.25.3.2.1.3.1</t>
  </si>
  <si>
    <t>1.3.6.1.2.1.25.3.2.1.4.1</t>
  </si>
  <si>
    <t>hrDeviceStatus</t>
  </si>
  <si>
    <t>1.3.6.1.2.1.25.3.2.1.5.1</t>
  </si>
  <si>
    <t>1.3.6.1.2.1.25.3.2.1.6.1</t>
  </si>
  <si>
    <t xml:space="preserve">hrProcessorFrwID </t>
  </si>
  <si>
    <t xml:space="preserve">hrProcessorLoad </t>
  </si>
  <si>
    <t xml:space="preserve">hrNetworkIfIndex </t>
  </si>
  <si>
    <t>hrPrinterTable</t>
  </si>
  <si>
    <t>hrDiskStorageAccess</t>
  </si>
  <si>
    <t xml:space="preserve">hrDiskStorageMedia </t>
  </si>
  <si>
    <t xml:space="preserve">hrDiskStorageRemoveble </t>
  </si>
  <si>
    <t xml:space="preserve">hrDiskStorageCapacity </t>
  </si>
  <si>
    <t xml:space="preserve">hrPartitionIndex </t>
  </si>
  <si>
    <t xml:space="preserve">hrPartitionLabel </t>
  </si>
  <si>
    <t xml:space="preserve">hrPartitionID </t>
  </si>
  <si>
    <t xml:space="preserve">hrPartitionSize </t>
  </si>
  <si>
    <t xml:space="preserve">hrPartitionFSIndex </t>
  </si>
  <si>
    <t xml:space="preserve">hrFSIndex </t>
  </si>
  <si>
    <t xml:space="preserve">hrFSMountPoint </t>
  </si>
  <si>
    <t xml:space="preserve">hrFSRemoteMountPoint </t>
  </si>
  <si>
    <t xml:space="preserve">hrFSType </t>
  </si>
  <si>
    <t xml:space="preserve">hrFSAccess </t>
  </si>
  <si>
    <t xml:space="preserve">hrFSBootable </t>
  </si>
  <si>
    <t>hrFSStorageIndex</t>
  </si>
  <si>
    <t>hrFSLastFullBackupDate</t>
  </si>
  <si>
    <t>hrFSLastPartialBackupDate</t>
  </si>
  <si>
    <t>epPrtErrorJamHistoryTable</t>
  </si>
  <si>
    <t>epPrtErrorJamPathType</t>
  </si>
  <si>
    <t>epHrDeviceUsbProductID</t>
  </si>
  <si>
    <t>epHrDeviceHardDevices</t>
  </si>
  <si>
    <t>epHrDeviceRefHrDeviceIndex</t>
  </si>
  <si>
    <t>1.3.6.1.4.1.1248.1.8.2.1.2.1.3.2.1</t>
  </si>
  <si>
    <t>hrMemorySize</t>
    <phoneticPr fontId="2"/>
  </si>
  <si>
    <t>hrDeviceTable</t>
    <phoneticPr fontId="2"/>
  </si>
  <si>
    <t>prtGeneralTable</t>
    <phoneticPr fontId="2"/>
  </si>
  <si>
    <t>prtCoverTable</t>
    <phoneticPr fontId="2"/>
  </si>
  <si>
    <t>prtLocalizationTable</t>
    <phoneticPr fontId="2"/>
  </si>
  <si>
    <t>prtInputTable</t>
    <phoneticPr fontId="2"/>
  </si>
  <si>
    <t>prtOutputTable</t>
    <phoneticPr fontId="2"/>
  </si>
  <si>
    <t>prtMarkerSuppliesTable</t>
    <phoneticPr fontId="2"/>
  </si>
  <si>
    <t>prtMarkerColorantTable</t>
    <phoneticPr fontId="2"/>
  </si>
  <si>
    <t>prtChannelTable</t>
    <phoneticPr fontId="2"/>
  </si>
  <si>
    <t>prtInterpreterTable</t>
    <phoneticPr fontId="2"/>
  </si>
  <si>
    <t>epPrtPresetMediaDimSupportUnitSupport</t>
  </si>
  <si>
    <t>epPrtPresetMediaDimSupportMaxSize</t>
  </si>
  <si>
    <t>epPrtPresetMediaDimSupportMaxNameCharacters</t>
  </si>
  <si>
    <t>epPrtPresetMediaDimUnitSupportTable</t>
  </si>
  <si>
    <t>epPrtPresetMediaDimUnitSupportUnit</t>
  </si>
  <si>
    <t>1.3.6.1.4.1.1248.1.2.2.6.4.1.2.1.1</t>
  </si>
  <si>
    <t>epPrtPresetMediaMinDimFeedDir</t>
  </si>
  <si>
    <t>1.3.6.1.4.1.1248.1.2.2.6.4.1.3.1.1</t>
  </si>
  <si>
    <t>epPrtPresetMediaMaxDimFeedDir</t>
  </si>
  <si>
    <t>1.3.6.1.4.1.1248.1.2.2.6.4.1.4.1.1</t>
  </si>
  <si>
    <t>epPrtPresetMediaMinDimXFeedDir</t>
  </si>
  <si>
    <t>1.3.6.1.4.1.1248.1.2.2.6.4.1.5.1.1</t>
  </si>
  <si>
    <t>epPrtPresetMediaMaxDimXFeedDir</t>
  </si>
  <si>
    <t>1.3.6.1.4.1.1248.1.2.2.6.4.1.6.1.1</t>
  </si>
  <si>
    <t>epPrtPresetMediaDimSettingTable</t>
  </si>
  <si>
    <t>epPrtPresetMediaDimName</t>
  </si>
  <si>
    <t>epPrtPresetMediaDimUnit</t>
  </si>
  <si>
    <t>epPrtPresetMediaDimFeedDir</t>
  </si>
  <si>
    <t>1.3.6.1.4.1.1248.1.2.2.25.1.1.2.1.1</t>
  </si>
  <si>
    <t>1.3.6.1.4.1.1248.1.2.2.25.1.1.3.1.1</t>
  </si>
  <si>
    <t>epPrtMarkerSuppliesCartridgeHistoryMounted</t>
  </si>
  <si>
    <t>epScnScanToFolderUserSupportMaxAddressSize</t>
  </si>
  <si>
    <t>epScnScanToFolderUserSupportSecureConnection</t>
  </si>
  <si>
    <t>epScnScanToSettingRemoveShadow</t>
  </si>
  <si>
    <t>epScnScanToSettingRemoveShadowBackSurround</t>
  </si>
  <si>
    <t>epScnPresetAreaDimSupportMaxNameCharacters</t>
  </si>
  <si>
    <t>1.3.6.1.4.1.1248.1.8.2.1.2.1.4.2.4</t>
  </si>
  <si>
    <t>epHrFolderCertValidationEnable</t>
  </si>
  <si>
    <t>1.3.6.1.2.1.43.8.2.1.4.1.1</t>
  </si>
  <si>
    <t>prtInputMediaDimFeedDirChosen</t>
  </si>
  <si>
    <t>1.3.6.1.2.1.43.8.2.1.6.1.1</t>
  </si>
  <si>
    <t>prtInputCapacityUnit</t>
  </si>
  <si>
    <t>1.3.6.1.2.1.43.8.2.1.8.1.1</t>
  </si>
  <si>
    <t>1.3.6.1.2.1.43.11.1.1.4.1.1</t>
  </si>
  <si>
    <t>prtMarkerSuppliesType</t>
  </si>
  <si>
    <t>1.3.6.1.2.1.43.11.1.1.5.1.1</t>
  </si>
  <si>
    <t>prtMarkerSuppliesDescription</t>
  </si>
  <si>
    <t>prtMarkerColorantValue</t>
  </si>
  <si>
    <t>prtMarkerColorantTonality</t>
  </si>
  <si>
    <t>1.3.6.1.2.1.43.12.1.1.5.1.1</t>
  </si>
  <si>
    <t>prtChannelType</t>
  </si>
  <si>
    <t>prtChannelDefaultPageDescLangIndex</t>
  </si>
  <si>
    <t>prtChannelState</t>
  </si>
  <si>
    <t>prtChannelIfIndex</t>
  </si>
  <si>
    <t>prtChannelStatus</t>
  </si>
  <si>
    <t>1.3.6.1.2.1.43.14.1.1.8.1.1</t>
  </si>
  <si>
    <t>prtChannelInformation</t>
  </si>
  <si>
    <t>epPrtMarkerTotalPrintedPerInterfaceTable</t>
  </si>
  <si>
    <t>epPrtMarkerTotalPrintedPerInterfaceType</t>
  </si>
  <si>
    <t>1.3.6.1.4.1.1248.1.2.2.27.12.1.2.1.1.1</t>
  </si>
  <si>
    <t>epPrtMarkerTotalPrintedPerInterfaceCounterUnit</t>
  </si>
  <si>
    <t>epPrtMarkerTotalPrintedPerInterfaceMonoCount</t>
  </si>
  <si>
    <t>epPrtMarkerColorInterfaceTable</t>
  </si>
  <si>
    <t>epPrtMarkerColorInterfaceUsageLifeCounterUnit</t>
  </si>
  <si>
    <t>epPrtUserAdjTable</t>
  </si>
  <si>
    <t>epPrtUserAdjType</t>
  </si>
  <si>
    <t>epPrtUserAdjMinValue</t>
  </si>
  <si>
    <t>epPrtUserAdjMaxValue</t>
  </si>
  <si>
    <t>epPrtUserAdjInterval</t>
  </si>
  <si>
    <t>epPrtUserAdjValueUnit</t>
  </si>
  <si>
    <t>epPrtUserAdjValue</t>
  </si>
  <si>
    <t>epPrtUserAdjPaperTable</t>
  </si>
  <si>
    <t>epHrSMIMEFunctionType</t>
  </si>
  <si>
    <t>1.3.6.1.4.1.1248.1.8.2.3.8.1.2.2.1</t>
  </si>
  <si>
    <t>epHrSMIMEFunctionDefaultEncryption</t>
  </si>
  <si>
    <t>finDeviceTable</t>
    <phoneticPr fontId="2"/>
  </si>
  <si>
    <t>finDeviceAttributeTable</t>
    <phoneticPr fontId="2"/>
  </si>
  <si>
    <t>1.3.6.1.4.1.1248.1.2.2.35.1.1.3.1.1</t>
  </si>
  <si>
    <t>hrProcessorTable</t>
    <phoneticPr fontId="2"/>
  </si>
  <si>
    <t>epPrtGeneralPrintJobQualityMinValue</t>
  </si>
  <si>
    <t>epPrtGeneralPrintJobQualityMaxValue</t>
  </si>
  <si>
    <t>epPrtGeneralPrintJobBrightness</t>
  </si>
  <si>
    <t>epPrtGeneralPrintJobSaturation</t>
  </si>
  <si>
    <t>epPrtGeneralPrintJobDensity</t>
  </si>
  <si>
    <t>epPrtGeneralPrintJobContrast</t>
  </si>
  <si>
    <t>epPrtGeneralPrintJobRedBalance</t>
  </si>
  <si>
    <t>epPrtGeneralPrintJobGreenBalance</t>
  </si>
  <si>
    <t>1.3.6.1.4.1.1248.1.2.2.23.8.1.2.1.1</t>
  </si>
  <si>
    <t>1.3.6.1.4.1.1248.1.2.2.23.8.1.3.1.1</t>
  </si>
  <si>
    <t>1.3.6.1.4.1.1248.1.2.2.23.8.1.4.1.1</t>
  </si>
  <si>
    <t>epPrtBasicTable</t>
    <phoneticPr fontId="2"/>
  </si>
  <si>
    <t>epPrtSelectableStandbyTable</t>
    <phoneticPr fontId="2"/>
  </si>
  <si>
    <t>epPrtInterfaceTable</t>
    <phoneticPr fontId="2"/>
  </si>
  <si>
    <t>epPrtPaperSizeTable</t>
    <phoneticPr fontId="2"/>
  </si>
  <si>
    <t>epPrtOperationTable</t>
    <phoneticPr fontId="2"/>
  </si>
  <si>
    <t>epPrtInputSelectablePaperSizeTable</t>
    <phoneticPr fontId="2"/>
  </si>
  <si>
    <t>epPrtInputMediaDimSupportTable</t>
    <phoneticPr fontId="2"/>
  </si>
  <si>
    <t>epPrtInputSelectableAutoOtherPaperSizeTable</t>
    <phoneticPr fontId="2"/>
  </si>
  <si>
    <t>epPrtFinishingModeTable</t>
    <phoneticPr fontId="2"/>
  </si>
  <si>
    <t>epPrtMarkerTotalPrintedPerFunctionTable</t>
    <phoneticPr fontId="2"/>
  </si>
  <si>
    <t>epPrtMarkerSuppliesTable</t>
    <phoneticPr fontId="2"/>
  </si>
  <si>
    <t>epPrtMarkerSuppliesInkLifeCounterTable</t>
    <phoneticPr fontId="2"/>
  </si>
  <si>
    <t>epPrtErrorHistoryInputTable</t>
    <phoneticPr fontId="2"/>
  </si>
  <si>
    <t>epPrtMarkerColorTable</t>
    <phoneticPr fontId="2"/>
  </si>
  <si>
    <t>epPrtInterpreterExtTable</t>
    <phoneticPr fontId="2"/>
  </si>
  <si>
    <t>epPrtConsumableSupplyTable</t>
    <phoneticPr fontId="2"/>
  </si>
  <si>
    <t>epScnInputTable</t>
    <phoneticPr fontId="2"/>
  </si>
  <si>
    <t>epScnInputTotalRollerThresholdCount</t>
  </si>
  <si>
    <t>epScnScanTable</t>
    <phoneticPr fontId="2"/>
  </si>
  <si>
    <t>epScnScanPaperTypeTotalScannedCounterUnit</t>
  </si>
  <si>
    <t>epScnScanTotalSeparateChangeErrorCount</t>
  </si>
  <si>
    <t>epScnScanTotalPostureChangeErrorCount</t>
  </si>
  <si>
    <t>epScnScanTotalGlassDirtDetectCount</t>
  </si>
  <si>
    <t>epScnScanPaperSizeRangeSupportMaxSize</t>
  </si>
  <si>
    <t>epScnScanPaperSizeRangeSupporRangeType</t>
  </si>
  <si>
    <t>epScnScanPaperSizeRangeSupporCounterUnit</t>
  </si>
  <si>
    <t>epScnScanPaperSizeRangeStart</t>
  </si>
  <si>
    <t>1.3.6.1.4.1.1248.1.4.2.7.4.1.3.1.1.1</t>
  </si>
  <si>
    <t>epScnScanPaperSizeRangeEnd</t>
  </si>
  <si>
    <t>1.3.6.1.4.1.1248.1.4.2.7.4.1.4.1.1.1</t>
  </si>
  <si>
    <t>epScnScanPaperSizeRangeCount</t>
  </si>
  <si>
    <t>epScnScanPaperTypeType</t>
  </si>
  <si>
    <t>1.3.6.1.4.1.1248.1.4.2.7.5.1.2.1.1.1</t>
  </si>
  <si>
    <t>epScnScanPaperTypeTotalScanned</t>
  </si>
  <si>
    <t>epScnScanToFolderTable</t>
    <phoneticPr fontId="2"/>
  </si>
  <si>
    <t>epScnErrorHistoryTable</t>
    <phoneticPr fontId="2"/>
  </si>
  <si>
    <t>epHrAutoClearJobSettingsTimeoutSelectableTable</t>
    <phoneticPr fontId="2"/>
  </si>
  <si>
    <t>epHrPrinterOccupancyTimeoutSelectableTable</t>
    <phoneticPr fontId="2"/>
  </si>
  <si>
    <t>epHrOperationTable</t>
    <phoneticPr fontId="2"/>
  </si>
  <si>
    <t>epHrMailSettingTable</t>
    <phoneticPr fontId="2"/>
  </si>
  <si>
    <t>epHrOpenPlatformSettingsTable</t>
    <phoneticPr fontId="2"/>
  </si>
  <si>
    <t>epHrOpenPlatformVersionSelectableTable</t>
    <phoneticPr fontId="2"/>
  </si>
  <si>
    <t>epHrGeneralMaintenanceTable</t>
    <phoneticPr fontId="2"/>
  </si>
  <si>
    <t>epHrStatsHistoryComDailyHistoryIndexType</t>
  </si>
  <si>
    <t>epHrStatsHistoryComDailyHistoryMaxSize</t>
  </si>
  <si>
    <t>epHrStatsDailyHistoryTime</t>
  </si>
  <si>
    <t>epHrStatsDailyHistoryPowerOnCount</t>
  </si>
  <si>
    <t>epHrStatsDailyHistoryMoveFromStandbyCount</t>
  </si>
  <si>
    <t>epPrtPaperSize2LandscapeCount</t>
  </si>
  <si>
    <t>epPrtPaperSize2LandscapeProcessColorCount</t>
  </si>
  <si>
    <t>epPrtPaperSize2LandscapeSimplexCount</t>
  </si>
  <si>
    <t>epPrtPaperSize2LandscapeProcessColorSimplexCount</t>
  </si>
  <si>
    <t>epPrtPaperSize2LandscapeCount2</t>
  </si>
  <si>
    <t>epPrtPaperSize2LandscapeProcessColorCount2</t>
  </si>
  <si>
    <t>epPrtPaperSize2LandscapeSimplexCount2</t>
  </si>
  <si>
    <t>epPrtPaperSize2LandscapeProcessColorSimplexCount2</t>
  </si>
  <si>
    <t>epPrtConsumableSupplyColorSizeLifeCountUsageChanged</t>
  </si>
  <si>
    <t>1.3.6.1.4.1.1248.1.2.2.27.2.1.2.1.1.1</t>
  </si>
  <si>
    <t>1.3.6.1.4.1.1248.1.2.2.27.2.1.3.1.1.1</t>
  </si>
  <si>
    <t>1.3.6.1.4.1.1248.1.2.2.27.2.1.4.1.1.1</t>
  </si>
  <si>
    <t>1.3.6.1.4.1.1248.1.2.2.27.2.1.5.1.1.1</t>
  </si>
  <si>
    <t>epPrtMarkerTotalPrintedPerNumOfCopyCounterUnit</t>
  </si>
  <si>
    <t>epPrtMarkerTotalPrintedPerNumOfCopyStart</t>
  </si>
  <si>
    <t>1.3.6.1.4.1.1248.1.2.2.27.13.1.3.1.1.1</t>
  </si>
  <si>
    <t>epPrtMarkerTotalPrintedPerNumOfCopyEnd</t>
  </si>
  <si>
    <t>1.3.6.1.4.1.1248.1.2.2.27.13.1.4.1.1.1</t>
  </si>
  <si>
    <t>epPrtMarkerTotalPrintedPerNumOfCopyCount</t>
  </si>
  <si>
    <t>epPrtMarkerTotalPrintedPerNumOfCopyJobs</t>
  </si>
  <si>
    <t>1.3.6.1.4.1.1248.1.2.2.49.1.1.5.1.1</t>
  </si>
  <si>
    <t>1.3.6.1.4.1.1248.1.2.2.30.6.1.2.1.1.1</t>
  </si>
  <si>
    <t>epPrtUserAdjPaperSettingValue</t>
  </si>
  <si>
    <t>epPrtUserAdjPaperType</t>
  </si>
  <si>
    <t>epPrtDewCondensationPreventionEnable</t>
  </si>
  <si>
    <t>epPrtDewCondensationPreventionStartTime</t>
  </si>
  <si>
    <t>epPrtDewCondensationPreventionMinDuration</t>
  </si>
  <si>
    <t>epPrtDewCondensationPreventionMaxDuration</t>
  </si>
  <si>
    <t>epPrtDewCondensationPreventionDuration</t>
  </si>
  <si>
    <t>epPrtGeneralPrintMaxDutyMode</t>
  </si>
  <si>
    <t>epPrtGeneralJobCtrlLangCharSetSupport</t>
  </si>
  <si>
    <t>epPrtFinisherDevicePunchUnitSerialNumber</t>
  </si>
  <si>
    <t>epPrtFinisherDeviceSaddleUnitSerialNumber</t>
  </si>
  <si>
    <t>epPrtFinisherDeviceShiftImprovementEnable</t>
  </si>
  <si>
    <t>epPrtFinisherDeviceStapleImprovementEnable</t>
  </si>
  <si>
    <t>epPrtFinisherDeviceSaddleImprovementEnable</t>
  </si>
  <si>
    <t>epPrtFinisherDevicePunchHoleDestination</t>
  </si>
  <si>
    <t>epPrtFinisherDeviceProductivityModeEnable</t>
  </si>
  <si>
    <t>epPrtFinisherDeviceProductivityStraightImprovementEnable</t>
  </si>
  <si>
    <t>epPrtFinisherDeviceProductivityBarShiftImprovementEnable</t>
  </si>
  <si>
    <t>epPrtFinisherDeviceProductivityStapleImprovementEnable</t>
  </si>
  <si>
    <t>epPrtFinisherDeviceProductivitySaddleImprovementEnable</t>
  </si>
  <si>
    <t>epPrtFinisherDeviceStackWithoutSupportTrayEnable</t>
  </si>
  <si>
    <t>epPrtFinisherDeviceSetMainTrayLowerEnable</t>
  </si>
  <si>
    <t>epPrtFinisherDeviceLowerTrayStackCountLimitEnable</t>
  </si>
  <si>
    <t>epPrtFinisherMaintenanceTable</t>
  </si>
  <si>
    <t>epPrtFinisherMaintenanceType</t>
  </si>
  <si>
    <t>epPrtFinisherMaintenanceCounter</t>
  </si>
  <si>
    <t>epPrtFinisherStackSpeedInhibitTable</t>
  </si>
  <si>
    <t>epPrtFinisherStackSpeedInhibitType</t>
  </si>
  <si>
    <t>epPrtFinisherStackSpeedInhibitSize</t>
  </si>
  <si>
    <t>epPrtFinisherStackSpeedInhibitMinSetting</t>
  </si>
  <si>
    <t>epPrtFinisherStackSpeedInhibitMaxSetting</t>
  </si>
  <si>
    <t>epPrtFinisherStackSpeedInhibitSetting</t>
  </si>
  <si>
    <t>epPrtMarkerUserTotalColorPrinted</t>
  </si>
  <si>
    <t>epPrtMarkerSuppliesUserTotalCount</t>
  </si>
  <si>
    <t>epPrtCleaningPowderMaxInterval</t>
  </si>
  <si>
    <t>epPrtCleaningPowderInterval</t>
  </si>
  <si>
    <t>epPrtCleaningForcefulEnable</t>
  </si>
  <si>
    <t>epPrtCleaningForcefulMinInterval</t>
  </si>
  <si>
    <t>epPrtCleaningForcefulMaxInterval</t>
  </si>
  <si>
    <t>epPrtCleaningForcefulInterval</t>
  </si>
  <si>
    <t>epPrtCleaningPowderEnable</t>
  </si>
  <si>
    <t>epPrtCleaningScheduled</t>
  </si>
  <si>
    <t>epPrtStatsCommonMediaTypeCATNum</t>
  </si>
  <si>
    <t>epPrtStatsCommonMediaSizeCATNum</t>
  </si>
  <si>
    <t>epPrtStatsCommonCustomSizeCATNum</t>
  </si>
  <si>
    <t>epPrtStatsCommonInkSlotNum</t>
  </si>
  <si>
    <t>epPrtStatsCommonInkSupSizeNum</t>
  </si>
  <si>
    <t>epPrtStatsCommonRollPaperBorderlessPrinted</t>
  </si>
  <si>
    <t>epPrtStatsCommonBoardPaperPrinted</t>
  </si>
  <si>
    <t>epPrtStatsCommonMediaTypeCATInkSlotUsageCounterUnit</t>
  </si>
  <si>
    <t>epPrtStatsCommonMediaTypeCATPrintedAreaUnit</t>
  </si>
  <si>
    <t>epPrtStatsCommonInkSlotOnPaperUsageCounterUnit</t>
  </si>
  <si>
    <t>epPrtStatsCommonInkSlotFlushingUsageCounterUnit</t>
  </si>
  <si>
    <t>epPrtStatsCommonInkSlotCleaningUsageCounterUnit</t>
  </si>
  <si>
    <t>epPrtStatsMediaTypeCATTable</t>
  </si>
  <si>
    <t>epPrtStatsMediaTypeCAT</t>
  </si>
  <si>
    <t>epPrtStatsMediaTypeCATUnitCATNum</t>
  </si>
  <si>
    <t>epPrtStatsMediaTypeCATMonoPrinted</t>
  </si>
  <si>
    <t>epPrtStatsMediaTypeCATMMSAddMediaNum</t>
  </si>
  <si>
    <t>epPrtStatsMediaTypeCATReduceRubbingCutPaperPrinted</t>
  </si>
  <si>
    <t>epPrtStatsMediaTypeCATReduceRubbingRollPaperPrinted</t>
  </si>
  <si>
    <t>epPrtStatsMediaTypeCATPrintedArea</t>
  </si>
  <si>
    <t>epPrtStatsMediaTypeCATCutPaperJamCounter</t>
  </si>
  <si>
    <t>epPrtStatsMediaTypeCATRollPaperJamCounter</t>
  </si>
  <si>
    <t>epPrtStatsMediaTypeCATRollPaperPrintedMaxLength</t>
  </si>
  <si>
    <t>epPrtStatsMediaSizeCATTable</t>
  </si>
  <si>
    <t>epPrtStatsMediaSizeCAT</t>
  </si>
  <si>
    <t>1.3.6.1.4.1.1248.1.2.2.56.3.1.2.1.1.1</t>
  </si>
  <si>
    <t>epPrtStatsMediaSizeCATCutPaperBorderlessPrinted</t>
  </si>
  <si>
    <t>epPrtStatsMediaSizeCATCutPaperJamCounter</t>
  </si>
  <si>
    <t>epPrtStatsInkSlotTable</t>
  </si>
  <si>
    <t>epPrtStatsInkSlotLowOccurredCounter</t>
  </si>
  <si>
    <t>epPrtStatsInkSlotEndOccurredCounter</t>
  </si>
  <si>
    <t>epPrtStatsInkSlotOnPaperUsageCounter</t>
  </si>
  <si>
    <t>epPrtStatsInkSlotOnPaperGenuineUsageCounter</t>
  </si>
  <si>
    <t>epPrtStatsInkSlotFlushingUsageCounter</t>
  </si>
  <si>
    <t>epPrtStatsInkSlotFlushingGenuineUsageCounter</t>
  </si>
  <si>
    <t>epPrtStatsInkSlotCleaningUsageCounter</t>
  </si>
  <si>
    <t>epPrtStatsInkSlotCleaningGenuineUsageCounter</t>
  </si>
  <si>
    <t>epPrtStatsInkSupSizeTable</t>
  </si>
  <si>
    <t>epPrtStatsPaperCustomSizeCATTable</t>
  </si>
  <si>
    <t>epPrtStatsMediaTypeCATUnitCATTable</t>
  </si>
  <si>
    <t>epPrtStatsMediaTypeCATUnitCATPrinted</t>
  </si>
  <si>
    <t>epPrtStatsMediaTypeCATSizeCATTable</t>
  </si>
  <si>
    <t>epPrtStatsMediaTypeCATSizeCATCutPaperPrinted</t>
  </si>
  <si>
    <t>epPrtStatsMediaTypeCATSizeCATRollPaperPrinted</t>
  </si>
  <si>
    <t>epPrtStatsMediaTypeCATPaperCustomSizeCATTable</t>
  </si>
  <si>
    <t>epPrtStatsMediaTypeCATPaperCustomSizeCATCutPaperPrinted</t>
  </si>
  <si>
    <t>epPrtStatsMediaTypeCATPaperCustomSizeCATRollPaperPrinted</t>
  </si>
  <si>
    <t>epPrtStatsMediaTypeCATInkSlotTable</t>
  </si>
  <si>
    <t>epPrtStatsMediaTypeCATInkSlotUsageCounter</t>
  </si>
  <si>
    <t>epPrtStatsInkSlotInkSupSizeTable</t>
  </si>
  <si>
    <t>epPrtStatsInkSlotInkSupSizeChanged</t>
  </si>
  <si>
    <t>epPrtStatsInkSlotCoverageTypeTable</t>
  </si>
  <si>
    <t>epPrtStatsInkSlotCoverageTypeCoverageType</t>
  </si>
  <si>
    <t>epPrtStatsInkSlotCoverageTypeLastJobDuty</t>
  </si>
  <si>
    <t>epPrtStatsInkSlotCoverageTypeLifeDuty</t>
  </si>
  <si>
    <t>epPrtStatsInkSlotCoverageTypeTermDuty</t>
  </si>
  <si>
    <t>epPrtManualStaplerEnable</t>
  </si>
  <si>
    <t>epPrtManualStaplerInsertableMinWaitTime</t>
  </si>
  <si>
    <t>epPrtManualStaplerInsertableWaitMaxTime</t>
  </si>
  <si>
    <t>epPrtManualStaplerInsertableWaitTime</t>
  </si>
  <si>
    <t>epPrtManualStaplerGuidePaperSize</t>
  </si>
  <si>
    <t>epPrtManualStaplerCounter</t>
  </si>
  <si>
    <t>epScnScanAfterRegularCleaningTotalScannedUnit</t>
  </si>
  <si>
    <t>epScnScanAfterRegularCleaningTotalScanned</t>
  </si>
  <si>
    <t>epScnScanAfterChangeTotalScannedUnit</t>
  </si>
  <si>
    <t>epScnScanAfterFeedRollerChangeTotalScanned</t>
  </si>
  <si>
    <t>epScnScanAfterSeparationRollerChangeTotalScanned</t>
  </si>
  <si>
    <t>epScnScanToMailEnable</t>
  </si>
  <si>
    <t>epScnScanToMailMaxFileSizeUnit</t>
  </si>
  <si>
    <t>epScnScanToMailMaxFileSize</t>
  </si>
  <si>
    <t>epScnScanToMailSubject</t>
  </si>
  <si>
    <t>epScnScanToMailMaxFileSizeSelectableValue</t>
  </si>
  <si>
    <t>epScnScanToMailUserSettingTable</t>
  </si>
  <si>
    <t>epScnScanToMailUserSettingMaxFileSize</t>
  </si>
  <si>
    <t>epScnScanToMailUserSettingSubject</t>
  </si>
  <si>
    <t>epScnCommonDoubleFeedDetectSkipEnable</t>
  </si>
  <si>
    <t>epScnCommonDoubleFeedStopSetting</t>
  </si>
  <si>
    <t>epScnCommonAutoStopTimeSetting</t>
  </si>
  <si>
    <t>epScnCommonScreenOrientationSetting</t>
  </si>
  <si>
    <t>epScnCommonPickupRollerCountAlertEnable</t>
  </si>
  <si>
    <t>epScnCommonPickupRollerCountAlertSettingMax</t>
  </si>
  <si>
    <t>epScnCommonPickupRollerCountAlertSetting</t>
  </si>
  <si>
    <t>epScnCommonSeparationRollerCountAlertEnable</t>
  </si>
  <si>
    <t>epScnCommonSeparationRollerCountAlertSettingMax</t>
  </si>
  <si>
    <t>epScnCommonSeparationRollerCountAlertSetting</t>
  </si>
  <si>
    <t>epHrNetworkDNServer2Address</t>
  </si>
  <si>
    <t>1.3.6.1.4.1.1248.1.8.2.21.1.1.24.2.1</t>
  </si>
  <si>
    <t>1.3.6.1.4.1.1248.1.8.2.21.1.1.25.2.1</t>
  </si>
  <si>
    <t>epHrEmbeddedAgentSettingsNowSendFunctionSupport</t>
  </si>
  <si>
    <t>1.3.6.1.4.1.1248.1.8.2.21.1.1.26.2.1</t>
  </si>
  <si>
    <t>epHrEmbeddedAgentSettingsHeadCleaningFunctionSupport</t>
  </si>
  <si>
    <t>1.3.6.1.4.1.1248.1.8.2.21.1.1.27.2.1</t>
  </si>
  <si>
    <t>epHrEmbeddedAgentSettingsRebootFunctionSupport</t>
  </si>
  <si>
    <t>1.3.6.1.4.1.1248.1.8.2.21.1.1.28.2.1</t>
  </si>
  <si>
    <t>epHrBoxCommonDefaultDocumentEraseEnable</t>
  </si>
  <si>
    <t>epHrBoxCommonDocumentEraseSettingEnable</t>
  </si>
  <si>
    <t>epHrBosSharedCommonTable</t>
  </si>
  <si>
    <t>epHrBoxSharedCommonEnable</t>
  </si>
  <si>
    <t>epHrBoxSharedCommonOperationPermissions</t>
  </si>
  <si>
    <t>epHrBoxSharedCommonAutoErasePermissions</t>
  </si>
  <si>
    <t>epHrBoxSharedCommonDefaultAutoEraseEnable</t>
  </si>
  <si>
    <t>epHrBoxSharedCommonDefaultAutoEraseDuration</t>
  </si>
  <si>
    <t>epHrBoxSharedCommonAutoEraseMinDurationDay</t>
  </si>
  <si>
    <t>epHrBoxSharedCommonAutoEraseMaxDurationDay</t>
  </si>
  <si>
    <t>epHrBoxSharedCommonAutoEraseMinDurationHour</t>
  </si>
  <si>
    <t>epHrBoxSharedCommonAutoEraseMaxDurationHour</t>
  </si>
  <si>
    <t>epHrBoxSharedCommonDefaultAutoEraseDurationConsoleUnit</t>
  </si>
  <si>
    <t>epHrBoxUserCommonTable</t>
  </si>
  <si>
    <t>epHrBoxUserCommonAutoEraseEnable</t>
  </si>
  <si>
    <t>epHrBoxUserCommonAutoEraseDuration</t>
  </si>
  <si>
    <t>epHrBoxUserCommonAutoEraseMinDurationDay</t>
  </si>
  <si>
    <t>epHrBoxUserCommonAutoEraseMaxDurationDay</t>
  </si>
  <si>
    <t>epHrBoxUserCommonAutoEraseMinDurationHour</t>
  </si>
  <si>
    <t>epHrBoxUserCommonAutoEraseMaxDurationHour</t>
  </si>
  <si>
    <t>epHrBoxUserCommonAutoEraseDurationConsoleUnit</t>
  </si>
  <si>
    <t>1.3.6.1.4.1.1248.1.8.2.21.1.1.29.2.1</t>
  </si>
  <si>
    <t>1.3.6.1.4.1.1248.1.8.2.21.1.1.30.2.1</t>
  </si>
  <si>
    <t>epHrEmbeddedAgentSettingsSendRetryMinuteInterval</t>
  </si>
  <si>
    <t>1.3.6.1.4.1.1248.1.8.2.21.1.1.31.2.1</t>
  </si>
  <si>
    <t>epHrEmbeddedAgentSettingsMinSendRetryCount</t>
  </si>
  <si>
    <t>epHrEmbeddedAgentSettingsMaxSendRetryCount</t>
  </si>
  <si>
    <t>epHrEmbeddedAgentSettingsSendRetryCount</t>
  </si>
  <si>
    <t>epHrAutoFirmwareUpdateEnable</t>
  </si>
  <si>
    <t>epHrAutoFirmwareUpdateDay</t>
  </si>
  <si>
    <t>epHrAutoFirmwareUpdateStartTime</t>
  </si>
  <si>
    <t>epHrAutoFirmwareUpdateDirectory</t>
  </si>
  <si>
    <t>epHrConsoleKeyboardType</t>
  </si>
  <si>
    <t>epHrDirectPowerOnEnable</t>
  </si>
  <si>
    <t>epHrConsoleHomeBackgroundColor</t>
  </si>
  <si>
    <t>hrStorageTable</t>
    <phoneticPr fontId="2"/>
  </si>
  <si>
    <t>OID</t>
    <phoneticPr fontId="2"/>
  </si>
  <si>
    <t>epPrtCancelBtnEnable</t>
  </si>
  <si>
    <t>epPrtFeedBtnEnable</t>
  </si>
  <si>
    <t>epPrtPeelerResetBtnEnable</t>
  </si>
  <si>
    <t>epPrtCancelBtnAction</t>
  </si>
  <si>
    <t>epPrtAuxIfEndPrintSignalModeSupport</t>
  </si>
  <si>
    <t>epPrtAuxIfEndPrintSignalMode</t>
  </si>
  <si>
    <t>epPrtAuxIfDataReadySignalModeSupport</t>
  </si>
  <si>
    <t>epPrtAuxIfDataReadySignalMode</t>
  </si>
  <si>
    <t>epPrtAuxIfMissingDotDetctedSignalModeSupport</t>
  </si>
  <si>
    <t>epPrtAuxIfMissingDotDetctedSignalMode</t>
  </si>
  <si>
    <t>epPrtAuxIfHeadMaintenanceSignalModeSupport</t>
  </si>
  <si>
    <t>epPrtAuxIfHeadMaintenanceSignalMode</t>
  </si>
  <si>
    <t>epPrtAuxIfPrinterReadySignalModeSupport</t>
  </si>
  <si>
    <t>epPrtAuxIfPrinterReadySignalMode</t>
  </si>
  <si>
    <t>epPrtAuxIfWarningSignalModeSupport</t>
  </si>
  <si>
    <t>epPrtAuxIfWarningSignalMode</t>
  </si>
  <si>
    <t>epPrtAuxIfErrorSignalModeSupport</t>
  </si>
  <si>
    <t>epPrtAuxIfErrorSignalMode</t>
  </si>
  <si>
    <t>epPrtAuxIfInkLowSignalModeSupport</t>
  </si>
  <si>
    <t>epPrtAuxIfInkLowSignalMode</t>
  </si>
  <si>
    <t>epPrtAuxIfInkEndSignalModeSupport</t>
  </si>
  <si>
    <t>epPrtAuxIfInkEndSignalMode</t>
  </si>
  <si>
    <t>epPrtAuxIfPaperEndSignalModeSupport</t>
  </si>
  <si>
    <t>epPrtAuxIfPaperEndSignalMode</t>
  </si>
  <si>
    <t>epPrtAuxIfPauseExecSignalModeSupport</t>
  </si>
  <si>
    <t>epPrtAuxIfPauseExecSignalMode</t>
  </si>
  <si>
    <t>epPrtAuxIfHeadCleaningExecSignalModeSupport</t>
  </si>
  <si>
    <t>epPrtAuxIfHeadCleaningExecSignalMode</t>
  </si>
  <si>
    <t>epPrtAuxIfMissingDotCheckExecSignalModeSupport</t>
  </si>
  <si>
    <t>epPrtAuxIfMissingDotCheckExecSignalMode</t>
  </si>
  <si>
    <t>epPrtAuxIfFeedExecSignalModeSupport</t>
  </si>
  <si>
    <t>epPrtAuxIfFeedExecSignalMode</t>
  </si>
  <si>
    <t>epPrtAuxIfStartPrintExecSignalModeSupport</t>
  </si>
  <si>
    <t>epPrtAuxIfStartPrintExecSignalMode</t>
  </si>
  <si>
    <t>epPrtAuxIfRePrintExecSignalModeSupport</t>
  </si>
  <si>
    <t>epPrtAuxIfRePrintExecSignalMode</t>
  </si>
  <si>
    <t>epPrtGeneralTimingBackFeed</t>
  </si>
  <si>
    <t>epPrtGeneralPrintJobCyanBalance</t>
  </si>
  <si>
    <t>epPrtGeneralPrintJobMagentaBalance</t>
  </si>
  <si>
    <t>epPrtGeneralPrintJobYellowBalance</t>
  </si>
  <si>
    <t>epPrtGeneralInkProfileMinValue</t>
  </si>
  <si>
    <t>epPrtGeneralInkProfileMaxValue</t>
  </si>
  <si>
    <t>epPrtGeneralInkProfile</t>
  </si>
  <si>
    <t>epPrtGeneralRationBlackCMPSTMinValue</t>
  </si>
  <si>
    <t>epPrtGeneralRationBlackCMPSTMaxValue</t>
  </si>
  <si>
    <t>epPrtGeneralRationBlackCMPST</t>
  </si>
  <si>
    <t>epPrtGeneralEachHeadPassDryTimeMinValue</t>
  </si>
  <si>
    <t>epPrtGeneralEachHeadPassDryTimeMaxValue</t>
  </si>
  <si>
    <t>epPrtGeneralEachHeadPassDryTime</t>
  </si>
  <si>
    <t>epPrtGeneralComplementAfterNVTEnable</t>
  </si>
  <si>
    <t>epPrtGeneralBarWidthAdjustmentMinValue</t>
  </si>
  <si>
    <t>epPrtGeneralBarWidthAdjustmentMaxValue</t>
  </si>
  <si>
    <t>epPrtGeneralBarWidthAdjustment</t>
  </si>
  <si>
    <t>epPrtGeneralActionAfterPrintSupport</t>
  </si>
  <si>
    <t>epPrtGeneralActionAfterPrint</t>
  </si>
  <si>
    <t>epPrtGeneralPrintTopPosAdjustment</t>
  </si>
  <si>
    <t>epPrtGeneralPrintLeftPosAdjustment</t>
  </si>
  <si>
    <t>epPrtGeneralMediaTopPosAdjustment</t>
  </si>
  <si>
    <t>epPrtGeneralLeftMarginAdjustment</t>
  </si>
  <si>
    <t>epPrtGeneralCutPosAdjustment</t>
  </si>
  <si>
    <t>epPrtGeneralPeelOffByHandPosAdjustmen</t>
  </si>
  <si>
    <t>epPrtGeneralPeelOffByMachinePosAdjustmen</t>
  </si>
  <si>
    <t>epPrtGeneralReprintReleaseErrorEnable</t>
  </si>
  <si>
    <t>epPrtGeneralMediaHoldPressureMinValue</t>
  </si>
  <si>
    <t>epPrtGeneralMediaHoldPressureMaxValue</t>
  </si>
  <si>
    <t>epPrtGeneralMediaHoldPressure</t>
  </si>
  <si>
    <t>epPrtGeneralFavoriteSet</t>
  </si>
  <si>
    <t>epPrtGeneralActionPowerOn</t>
  </si>
  <si>
    <t>epPrtFavoriteCommonMaxSize</t>
  </si>
  <si>
    <t>epPrtFavoriteCommonNameMaxSize</t>
  </si>
  <si>
    <t>epPrtMarkerResettableTotalPrintedMaxSize</t>
  </si>
  <si>
    <t>epPrtMarkerResettableTotalPrintedCounterUnit</t>
  </si>
  <si>
    <t>epPrtMarkerResettableTotalPrintedLengthUnit</t>
  </si>
  <si>
    <t>epPrtMarkerResettableTotalPrintedCount</t>
  </si>
  <si>
    <t>epPrtMarkerResettableTotalPrintedLength</t>
  </si>
  <si>
    <t>epPrtMarkerUTPPerAreaThreshold</t>
  </si>
  <si>
    <t>epPrtMarkerUTPPerAreaTotal</t>
  </si>
  <si>
    <t>epPrtMarkerUTPPerAreaColor</t>
  </si>
  <si>
    <t>epPrtMarkerSuppliesSlotIndex</t>
  </si>
  <si>
    <t>epPrtMarkerSuppliesLevelStatus</t>
  </si>
  <si>
    <t>epPrtMarkerSuppliesPrductionLine</t>
  </si>
  <si>
    <t>epPrtMarkerSuppliesPrductionDate</t>
  </si>
  <si>
    <t>epPrtMarkerSuppliesStatus</t>
  </si>
  <si>
    <t>epPrtMarkerSuppliesNonGenuineErrorResetCount</t>
  </si>
  <si>
    <t>epPrtCleaningAutoNozzleCheckSupport</t>
  </si>
  <si>
    <t>epPrtCleaningAutoNozzleCheckMinInterval</t>
  </si>
  <si>
    <t>epPrtCleaningAutoNozzleCheckMaxInterval</t>
  </si>
  <si>
    <t>epPrtCleaningAutoNozzleCheckInterval</t>
  </si>
  <si>
    <t>epPrtCleaningAutoNozzleCheckMinThreshold</t>
  </si>
  <si>
    <t>epPrtCleaningAutoNozzleCheckMaxThreshold</t>
  </si>
  <si>
    <t>epPrtCleaningAutoNozzlesCheckThreshold</t>
  </si>
  <si>
    <t>epPrtCleaningAutoNozzleCheckOperation</t>
  </si>
  <si>
    <t>epPrtCleaningAutoNozzleCheckCleaningEnable</t>
  </si>
  <si>
    <t>epPrtCleaningScheduledTime</t>
  </si>
  <si>
    <t>epPrtDUSPRTDimUnit</t>
  </si>
  <si>
    <t>epPrtDUSPRTLabelLayoutDP</t>
  </si>
  <si>
    <t>epPrtDUSPRTLabelWidthMin</t>
  </si>
  <si>
    <t>epPrtDUSPRTLabelWidthMax</t>
  </si>
  <si>
    <t>epPrtDUSPRTLabelLengthMin</t>
  </si>
  <si>
    <t>epPrtDUSPRTLabelLengthMax</t>
  </si>
  <si>
    <t>epPrtDUSPRTNoneMediaDetectGapBETWLabelsMax</t>
  </si>
  <si>
    <t>epPrtDUSPRTMediaDetectGapBETWLabelsMin</t>
  </si>
  <si>
    <t>epPrtDUSPRTMediaDetectGapBETWLabelsMax</t>
  </si>
  <si>
    <t>epPrtDUSPRTPrintTopPosAdjustmentMin</t>
  </si>
  <si>
    <t>epPrtDUSPRTPrintLeftPosAdjustmentMax</t>
  </si>
  <si>
    <t>epPrtDUSPRTMediaTopPosAdjustmentMin</t>
  </si>
  <si>
    <t>epPrtDUSPRTCutPosAdjustmentDP</t>
  </si>
  <si>
    <t>epPrtDUSPRTCutPosAdjustmentMax</t>
  </si>
  <si>
    <t>epPrtDUSPRTPeelOffPosAdjustmentDP</t>
  </si>
  <si>
    <t>epPrtDUSPRTPeelOffByHandPosAdjustmentMin</t>
  </si>
  <si>
    <t>epPrtDUSPRTPeelOffByHandPosAdjustmentMax</t>
  </si>
  <si>
    <t>epPrtDUSPRTPeelOffByMachinePosAdjustmentMin</t>
  </si>
  <si>
    <t>epPrtDUSPRTPeelOffByMachinePosAdjustmentMax</t>
  </si>
  <si>
    <t>epPrtEscLabelSettingsClass</t>
  </si>
  <si>
    <t>epPrtEscLabelInterpreterIndex</t>
  </si>
  <si>
    <t>epPrtEscLabelControlPrefix</t>
  </si>
  <si>
    <t>epPrtEscLabelFormatPrefix</t>
  </si>
  <si>
    <t>epPrtEscLabelDelimiterCharcter</t>
  </si>
  <si>
    <t>epScnCommonAutoScanModeTimeout</t>
  </si>
  <si>
    <t>epScnCommonCheckDestinationBeforeScan</t>
  </si>
  <si>
    <t>epScnCommonAdfReadPosition</t>
  </si>
  <si>
    <t>epScnCommonAdfAutoLiftUpMode</t>
  </si>
  <si>
    <t>epHrSettingDimUnit</t>
  </si>
  <si>
    <t>epHrConsoleBackgroundColor</t>
  </si>
  <si>
    <t>epHrOptionNicEnable</t>
  </si>
  <si>
    <t>epHrAvailableOptionFaxPortsMaxNum</t>
  </si>
  <si>
    <t>epHrAvailableOptionFaxPortsNum</t>
  </si>
  <si>
    <t>epHrCommonVolumeRepeat</t>
  </si>
  <si>
    <t>epHrEmbeddedAgentSettingsRemoteTerminalEnable</t>
  </si>
  <si>
    <t>1.3.6.1.4.1.1248.1.8.2.21.1.1.35.2.1</t>
  </si>
  <si>
    <t>epHrDeviceTable</t>
    <phoneticPr fontId="2"/>
  </si>
  <si>
    <t>epPrtGeneralMaskImageSurroundMinValue</t>
  </si>
  <si>
    <t>epPrtGeneralMaskImageSurroundMaxValue</t>
  </si>
  <si>
    <t>epPrtGeneralMaskImageSurroundInterval</t>
  </si>
  <si>
    <t>epPrtGeneralMaskImageSurround</t>
  </si>
  <si>
    <t>epPrtInputLevelNearEndInterval</t>
  </si>
  <si>
    <t>1.3.6.1.4.1.1248.1.2.2.32.1.1.3.1.1</t>
  </si>
  <si>
    <t>epScnScanToSettingSkipBlankPageEnable</t>
  </si>
  <si>
    <t>epPrtPrinterName</t>
  </si>
  <si>
    <t>epHrFolderSecureConnectionSupport</t>
  </si>
  <si>
    <t>epHrFolderProxySupport</t>
  </si>
  <si>
    <t>epHrFolderCertValidationSupport</t>
  </si>
  <si>
    <t>1.3.6.1.4.1.1248.1.8.2.21.1.1.5.2.1</t>
  </si>
  <si>
    <t>1.3.6.1.4.1.1248.1.8.2.21.1.1.6.2.1</t>
  </si>
  <si>
    <t>1.3.6.1.4.1.1248.1.8.2.21.1.1.7.2.1</t>
  </si>
  <si>
    <t>1.3.6.1.4.1.1248.1.8.2.21.1.1.8.2.1</t>
  </si>
  <si>
    <t>1.3.6.1.4.1.1248.1.8.2.21.1.1.9.2.1</t>
  </si>
  <si>
    <t>1.3.6.1.4.1.1248.1.8.2.21.1.1.10.2.1</t>
  </si>
  <si>
    <t>epHrEmbeddedAgentSettingsSendStopConfirmMinuteInterval</t>
  </si>
  <si>
    <t>epHrLocalAuthVersionSelectableTable</t>
    <phoneticPr fontId="2"/>
  </si>
  <si>
    <t>EPSON Private MIB</t>
  </si>
  <si>
    <t>Public MIB</t>
  </si>
  <si>
    <t>■Oid</t>
    <phoneticPr fontId="23"/>
  </si>
  <si>
    <t>Name</t>
    <phoneticPr fontId="23"/>
  </si>
  <si>
    <t>Oid</t>
    <phoneticPr fontId="23"/>
  </si>
  <si>
    <t>hrMemorySize</t>
  </si>
  <si>
    <t>1.3.6.1.2.1.25.2.2.0</t>
  </si>
  <si>
    <t>1.3.6.1.2.1.25.2.3.1.1.1</t>
  </si>
  <si>
    <t>hrStorageDescr</t>
  </si>
  <si>
    <t>hrStorageAllocationUnits</t>
  </si>
  <si>
    <t>hrStorageSize</t>
  </si>
  <si>
    <t>hrDeviceIndex</t>
  </si>
  <si>
    <t>hrDeviceType</t>
  </si>
  <si>
    <t>hrDeviceDescr</t>
  </si>
  <si>
    <t>hrDeviceID</t>
  </si>
  <si>
    <t>1.3.6.1.2.1.25.3.3.1.1.1</t>
  </si>
  <si>
    <t>1.3.6.1.2.1.25.3.3.1.2.1</t>
  </si>
  <si>
    <t>1.3.6.1.2.1.25.3.4.1.1.1</t>
  </si>
  <si>
    <t>1.3.6.1.2.1.25.3.5.1.1.1</t>
  </si>
  <si>
    <t>1.3.6.1.2.1.25.3.5.1.2.1</t>
  </si>
  <si>
    <t>1.3.6.1.2.1.25.3.6.1.1.1</t>
  </si>
  <si>
    <t>1.3.6.1.2.1.25.3.6.1.2.1</t>
  </si>
  <si>
    <t>1.3.6.1.2.1.25.3.6.1.3.1</t>
  </si>
  <si>
    <t>1.3.6.1.2.1.25.3.6.1.4.1</t>
  </si>
  <si>
    <t>1.3.6.1.2.1.25.3.7.1.1.1</t>
  </si>
  <si>
    <t>1.3.6.1.2.1.25.3.7.1.2.1</t>
  </si>
  <si>
    <t>1.3.6.1.2.1.25.3.7.1.3.1</t>
  </si>
  <si>
    <t>1.3.6.1.2.1.25.3.7.1.4.1</t>
  </si>
  <si>
    <t>1.3.6.1.2.1.25.3.7.1.5.1</t>
  </si>
  <si>
    <t>1.3.6.1.2.1.25.3.8.1.1.1</t>
  </si>
  <si>
    <t>1.3.6.1.2.1.25.3.8.1.2.1</t>
  </si>
  <si>
    <t>1.3.6.1.2.1.25.3.8.1.3.1</t>
  </si>
  <si>
    <t>1.3.6.1.2.1.25.3.8.1.4.1</t>
  </si>
  <si>
    <t>1.3.6.1.2.1.25.3.8.1.5.1</t>
  </si>
  <si>
    <t>1.3.6.1.2.1.25.3.8.1.6.1</t>
  </si>
  <si>
    <t>1.3.6.1.2.1.25.3.8.1.7.1</t>
  </si>
  <si>
    <t>1.3.6.1.2.1.25.3.8.1.8.1</t>
  </si>
  <si>
    <t>1.3.6.1.2.1.25.3.8.1.9.1</t>
  </si>
  <si>
    <t>prtGeneralConfigChanges</t>
  </si>
  <si>
    <t>1.3.6.1.2.1.43.5.1.1.1.1</t>
  </si>
  <si>
    <t>prtGeneralCurrentLocalization</t>
  </si>
  <si>
    <t>1.3.6.1.2.1.43.5.1.1.2.1</t>
  </si>
  <si>
    <t>prtGeneralReset</t>
  </si>
  <si>
    <t>1.3.6.1.2.1.43.5.1.1.3.1</t>
  </si>
  <si>
    <t>prtGeneralCurrentOperator</t>
  </si>
  <si>
    <t>1.3.6.1.2.1.43.5.1.1.4.1</t>
  </si>
  <si>
    <t>1.3.6.1.2.1.43.5.1.1.5.1</t>
  </si>
  <si>
    <t>prtInputDefaultIndex</t>
  </si>
  <si>
    <t>1.3.6.1.2.1.43.5.1.1.6.1</t>
  </si>
  <si>
    <t>1.3.6.1.2.1.43.5.1.1.7.1</t>
  </si>
  <si>
    <t>1.3.6.1.2.1.43.5.1.1.8.1</t>
  </si>
  <si>
    <t>1.3.6.1.2.1.43.5.1.1.9.1</t>
  </si>
  <si>
    <t>prtConsoleLocalization</t>
  </si>
  <si>
    <t>1.3.6.1.2.1.43.5.1.1.10.1</t>
  </si>
  <si>
    <t>prtConsoleNumberOfDisplayLines</t>
  </si>
  <si>
    <t>1.3.6.1.2.1.43.5.1.1.11.1</t>
  </si>
  <si>
    <t>1.3.6.1.2.1.43.5.1.1.12.1</t>
  </si>
  <si>
    <t>prtConsoleDisable</t>
  </si>
  <si>
    <t>1.3.6.1.2.1.43.5.1.1.13.1</t>
  </si>
  <si>
    <t>prtAuxiliarySheetStartupPage</t>
  </si>
  <si>
    <t>1.3.6.1.2.1.43.5.1.1.14.1</t>
  </si>
  <si>
    <t>1.3.6.1.2.1.43.5.1.1.15.1</t>
  </si>
  <si>
    <t>1.3.6.1.2.1.43.5.1.1.16.1</t>
  </si>
  <si>
    <t>prtGeneralSerialNumber</t>
  </si>
  <si>
    <t>1.3.6.1.2.1.43.5.1.1.17.1</t>
  </si>
  <si>
    <t>1.3.6.1.2.1.43.5.1.1.18.1</t>
  </si>
  <si>
    <t>1.3.6.1.2.1.43.5.1.1.19.1</t>
  </si>
  <si>
    <t>1.3.6.1.2.1.43.5.2.1.2.1.1</t>
  </si>
  <si>
    <t>1.3.6.1.2.1.43.5.3.1.2.1.1</t>
  </si>
  <si>
    <t>prtCoverDescription</t>
  </si>
  <si>
    <t>prtCoverStatus</t>
  </si>
  <si>
    <t>1.3.6.1.2.1.43.6.1.1.3.1.1</t>
  </si>
  <si>
    <t>prtLocalizationLanguage</t>
  </si>
  <si>
    <t>1.3.6.1.2.1.43.7.1.1.2.1.1</t>
  </si>
  <si>
    <t>1.3.6.1.2.1.43.7.1.1.3.1.1</t>
  </si>
  <si>
    <t>prtLocalizationCharacterSet</t>
  </si>
  <si>
    <t>1.3.6.1.2.1.43.7.1.1.4.1.1</t>
  </si>
  <si>
    <t>prtInputType</t>
  </si>
  <si>
    <t>1.3.6.1.2.1.43.8.2.1.3.1.1</t>
  </si>
  <si>
    <t>prtInputMediaDimFeedDirDeclared</t>
  </si>
  <si>
    <t>prtInputMediaDimXFeedDirDeclared</t>
  </si>
  <si>
    <t>1.3.6.1.2.1.43.8.2.1.5.1.1</t>
  </si>
  <si>
    <t>prtInputMediaDimXFeedDirChosen</t>
  </si>
  <si>
    <t>1.3.6.1.2.1.43.8.2.1.7.1.1</t>
  </si>
  <si>
    <t>prtInputMaxCapacity</t>
  </si>
  <si>
    <t>prtInputCurrentLevel</t>
  </si>
  <si>
    <t>1.3.6.1.2.1.43.8.2.1.10.1.1</t>
  </si>
  <si>
    <t>prtInputStatus</t>
  </si>
  <si>
    <t>prtInputMediaName</t>
  </si>
  <si>
    <t>1.3.6.1.2.1.43.8.2.1.12.1.1</t>
  </si>
  <si>
    <t>prtInputName</t>
  </si>
  <si>
    <t>prtInputVendorName</t>
  </si>
  <si>
    <t>1.3.6.1.2.1.43.8.2.1.14.1.1</t>
  </si>
  <si>
    <t>prtInputModel</t>
  </si>
  <si>
    <t>1.3.6.1.2.1.43.8.2.1.15.1.1</t>
  </si>
  <si>
    <t>prtInputVersion</t>
  </si>
  <si>
    <t>1.3.6.1.2.1.43.8.2.1.16.1.1</t>
  </si>
  <si>
    <t>prtInputSerialNumber</t>
  </si>
  <si>
    <t>1.3.6.1.2.1.43.8.2.1.17.1.1</t>
  </si>
  <si>
    <t>prtInputDescription</t>
  </si>
  <si>
    <t>1.3.6.1.2.1.43.8.2.1.18.1.1</t>
  </si>
  <si>
    <t>prtInputSecurity</t>
  </si>
  <si>
    <t>1.3.6.1.2.1.43.8.2.1.19.1.1</t>
  </si>
  <si>
    <t>prtInputMediaWeight</t>
  </si>
  <si>
    <t>1.3.6.1.2.1.43.8.2.1.20.1.1</t>
  </si>
  <si>
    <t>prtInputMediaType</t>
  </si>
  <si>
    <t>1.3.6.1.2.1.43.8.2.1.21.1.1</t>
  </si>
  <si>
    <t>prtInputMediaColor</t>
  </si>
  <si>
    <t>1.3.6.1.2.1.43.8.2.1.22.1.1</t>
  </si>
  <si>
    <t>prtInputMediaFormParts</t>
  </si>
  <si>
    <t>1.3.6.1.2.1.43.8.2.1.23.1.1</t>
  </si>
  <si>
    <t>prtOutputType</t>
  </si>
  <si>
    <t>1.3.6.1.2.1.43.9.2.1.2.1.1</t>
  </si>
  <si>
    <t>1.3.6.1.2.1.43.9.2.1.3.1.1</t>
  </si>
  <si>
    <t>prtOutputMaxCapacity</t>
  </si>
  <si>
    <t>1.3.6.1.2.1.43.9.2.1.4.1.1</t>
  </si>
  <si>
    <t>prtOutputRemainingCapacity</t>
  </si>
  <si>
    <t>1.3.6.1.2.1.43.9.2.1.5.1.1</t>
  </si>
  <si>
    <t>prtOutputStatus</t>
  </si>
  <si>
    <t>1.3.6.1.2.1.43.9.2.1.6.1.1</t>
  </si>
  <si>
    <t>prtOutputName</t>
  </si>
  <si>
    <t>1.3.6.1.2.1.43.9.2.1.7.1.1</t>
  </si>
  <si>
    <t>prtOutputVendorName</t>
  </si>
  <si>
    <t>1.3.6.1.2.1.43.9.2.1.8.1.1</t>
  </si>
  <si>
    <t>prtOutputModel</t>
  </si>
  <si>
    <t>1.3.6.1.2.1.43.9.2.1.9.1.1</t>
  </si>
  <si>
    <t>prtOutputVersion</t>
  </si>
  <si>
    <t>1.3.6.1.2.1.43.9.2.1.10.1.1</t>
  </si>
  <si>
    <t>prtOutputSerialNumber</t>
  </si>
  <si>
    <t>1.3.6.1.2.1.43.9.2.1.11.1.1</t>
  </si>
  <si>
    <t>prtOutputDescription</t>
  </si>
  <si>
    <t>1.3.6.1.2.1.43.9.2.1.12.1.1</t>
  </si>
  <si>
    <t>prtOutputSecurity</t>
  </si>
  <si>
    <t>1.3.6.1.2.1.43.9.2.1.13.1.1</t>
  </si>
  <si>
    <t>prtOutputDimUnit</t>
  </si>
  <si>
    <t>1.3.6.1.2.1.43.9.2.1.14.1.1</t>
  </si>
  <si>
    <t>prtOutputMaxDimFeedDir</t>
  </si>
  <si>
    <t>1.3.6.1.2.1.43.9.2.1.15.1.1</t>
  </si>
  <si>
    <t>prtOutputMaxDimXFeedDir</t>
  </si>
  <si>
    <t>1.3.6.1.2.1.43.9.2.1.16.1.1</t>
  </si>
  <si>
    <t>prtOutputMinDimFeedDir</t>
  </si>
  <si>
    <t>1.3.6.1.2.1.43.9.2.1.17.1.1</t>
  </si>
  <si>
    <t>prtOutputMinDimXFeedDir</t>
  </si>
  <si>
    <t>1.3.6.1.2.1.43.9.2.1.18.1.1</t>
  </si>
  <si>
    <t>prtOutputStackingOrder</t>
  </si>
  <si>
    <t>1.3.6.1.2.1.43.9.2.1.19.1.1</t>
  </si>
  <si>
    <t>prtOutputPageDeliveryOrientation</t>
  </si>
  <si>
    <t>1.3.6.1.2.1.43.9.2.1.20.1.1</t>
  </si>
  <si>
    <t>prtOutputBursting</t>
  </si>
  <si>
    <t>1.3.6.1.2.1.43.9.2.1.21.1.1</t>
  </si>
  <si>
    <t>prtOutputDecollating</t>
  </si>
  <si>
    <t>1.3.6.1.2.1.43.9.2.1.22.1.1</t>
  </si>
  <si>
    <t>prtOutputPageCollated</t>
  </si>
  <si>
    <t>1.3.6.1.2.1.43.9.2.1.23.1.1</t>
  </si>
  <si>
    <t>prtOutputOffsetStacking</t>
  </si>
  <si>
    <t>1.3.6.1.2.1.43.9.2.1.24.1.1</t>
  </si>
  <si>
    <t>prtMarkerTech</t>
  </si>
  <si>
    <t>1.3.6.1.2.1.43.10.2.1.2.1.1</t>
  </si>
  <si>
    <t>prtMarkerCounterUnit</t>
  </si>
  <si>
    <t>1.3.6.1.2.1.43.10.2.1.3.1.1</t>
  </si>
  <si>
    <t>prtMarkerLifeCount</t>
  </si>
  <si>
    <t>1.3.6.1.2.1.43.10.2.1.4.1.1</t>
  </si>
  <si>
    <t>prtMarkerPowerOnCount</t>
  </si>
  <si>
    <t>1.3.6.1.2.1.43.10.2.1.5.1.1</t>
  </si>
  <si>
    <t>prtMarkerProcessColorants</t>
  </si>
  <si>
    <t>1.3.6.1.2.1.43.10.2.1.6.1.1</t>
  </si>
  <si>
    <t>prtMarkerSpotColorants</t>
  </si>
  <si>
    <t>1.3.6.1.2.1.43.10.2.1.7.1.1</t>
  </si>
  <si>
    <t>prtMarkerAddressabilityUnit</t>
  </si>
  <si>
    <t>1.3.6.1.2.1.43.10.2.1.8.1.1</t>
  </si>
  <si>
    <t>1.3.6.1.2.1.43.10.2.1.9.1.1</t>
  </si>
  <si>
    <t>1.3.6.1.2.1.43.10.2.1.10.1.1</t>
  </si>
  <si>
    <t>prtMarkerNorthMargin</t>
  </si>
  <si>
    <t>1.3.6.1.2.1.43.10.2.1.11.1.1</t>
  </si>
  <si>
    <t>1.3.6.1.2.1.43.10.2.1.12.1.1</t>
  </si>
  <si>
    <t>1.3.6.1.2.1.43.10.2.1.13.1.1</t>
  </si>
  <si>
    <t>1.3.6.1.2.1.43.10.2.1.14.1.1</t>
  </si>
  <si>
    <t>1.3.6.1.2.1.43.10.2.1.15.1.1</t>
  </si>
  <si>
    <t>1.3.6.1.2.1.43.11.1.1.2.1.1</t>
  </si>
  <si>
    <t>prtMarkerSuppliesColorantIndex</t>
  </si>
  <si>
    <t>prtMarkerSuppliesSupplyUnit</t>
  </si>
  <si>
    <t>1.3.6.1.2.1.43.11.1.1.7.1.1</t>
  </si>
  <si>
    <t>prtMarkerSuppliesMaxCapacity</t>
  </si>
  <si>
    <t>1.3.6.1.2.1.43.11.1.1.8.1.1</t>
  </si>
  <si>
    <t>prtMarkerSuppliesLevel</t>
  </si>
  <si>
    <t>1.3.6.1.2.1.43.11.1.1.9.1.1</t>
  </si>
  <si>
    <t>1.3.6.1.2.1.43.12.1.1.2.1.1</t>
  </si>
  <si>
    <t>1.3.6.1.2.1.43.12.1.1.3.1.1</t>
  </si>
  <si>
    <t>prtMediaPathMaxSpeedPrintUnit</t>
  </si>
  <si>
    <t>1.3.6.1.2.1.43.13.4.1.2.1.1</t>
  </si>
  <si>
    <t>prtMediaPathMediaSizeUnit</t>
  </si>
  <si>
    <t>1.3.6.1.2.1.43.13.4.1.3.1.1</t>
  </si>
  <si>
    <t>prtMediaPathMaxSpeed</t>
  </si>
  <si>
    <t>1.3.6.1.2.1.43.13.4.1.4.1.1</t>
  </si>
  <si>
    <t>prtMediaPathMaxMediaFeedDir</t>
  </si>
  <si>
    <t>prtMediaPathMaxMediaXFeedDir</t>
  </si>
  <si>
    <t>prtMediaPathMinMediaFeedDir</t>
  </si>
  <si>
    <t>prtMediaPathMinMediaXFeedDir</t>
  </si>
  <si>
    <t>prtMediaPathType</t>
  </si>
  <si>
    <t>prtMediaPathDescription</t>
  </si>
  <si>
    <t>prtMediaPathStatus</t>
  </si>
  <si>
    <t>prtChannelProtocolVersion</t>
  </si>
  <si>
    <t>1.3.6.1.2.1.43.14.1.1.4.1.1</t>
  </si>
  <si>
    <t>1.3.6.1.2.1.43.14.1.1.7.1.1</t>
  </si>
  <si>
    <t>1.3.6.1.2.1.43.14.1.1.9.1.1</t>
  </si>
  <si>
    <t>prtInterpreterLangFamily</t>
  </si>
  <si>
    <t>prtInterpreterLangLevel</t>
  </si>
  <si>
    <t>prtInterpreterLangVersion</t>
  </si>
  <si>
    <t>prtInterpreterDescription</t>
  </si>
  <si>
    <t>prtInterpreterDefaultOrientation</t>
  </si>
  <si>
    <t>prtInterpreterFeedAddressability</t>
  </si>
  <si>
    <t>prtInterpreterXFeedAddressability</t>
  </si>
  <si>
    <t>prtInterpreterDefaultCharSetIn</t>
  </si>
  <si>
    <t>prtInterpreterDefaultCharSetOut</t>
  </si>
  <si>
    <t>prtInterpreterTwoWay</t>
  </si>
  <si>
    <t>prtConsoleDisplayBufferText</t>
  </si>
  <si>
    <t>1.3.6.1.2.1.43.16.5.1.2.1.1</t>
  </si>
  <si>
    <t>1.3.6.1.2.1.43.17.6.1.2.1.1</t>
  </si>
  <si>
    <t>1.3.6.1.2.1.43.17.6.1.3.1.1</t>
  </si>
  <si>
    <t>1.3.6.1.2.1.43.17.6.1.4.1.1</t>
  </si>
  <si>
    <t>1.3.6.1.2.1.43.17.6.1.5.1.1</t>
  </si>
  <si>
    <t>prtAlertSeverityLevel</t>
  </si>
  <si>
    <t>1.3.6.1.2.1.43.18.1.1.2.1.1</t>
  </si>
  <si>
    <t>1.3.6.1.2.1.43.18.1.1.3.1.1</t>
  </si>
  <si>
    <t>1.3.6.1.2.1.43.18.1.1.4.1.1</t>
  </si>
  <si>
    <t>1.3.6.1.2.1.43.18.1.1.5.1.1</t>
  </si>
  <si>
    <t>prtAlertLocation</t>
  </si>
  <si>
    <t>1.3.6.1.2.1.43.18.1.1.6.1.1</t>
  </si>
  <si>
    <t>1.3.6.1.2.1.43.18.1.1.7.1.1</t>
  </si>
  <si>
    <t>1.3.6.1.2.1.43.18.1.1.8.1.1</t>
  </si>
  <si>
    <t>1.3.6.1.2.1.43.18.1.1.9.1.1</t>
  </si>
  <si>
    <t>finDeviceType</t>
  </si>
  <si>
    <t>1.3.6.1.2.1.43.30.1.1.2.1.1</t>
  </si>
  <si>
    <t>finDevicePresentOnOff</t>
  </si>
  <si>
    <t>1.3.6.1.2.1.43.30.1.1.3.1.1</t>
  </si>
  <si>
    <t>finDeviceCapacityUnit</t>
  </si>
  <si>
    <t>1.3.6.1.2.1.43.30.1.1.4.1.1</t>
  </si>
  <si>
    <t>finDeviceMaxCapacity</t>
  </si>
  <si>
    <t>1.3.6.1.2.1.43.30.1.1.5.1.1</t>
  </si>
  <si>
    <t>finDeviceCurrentCapacity</t>
  </si>
  <si>
    <t>1.3.6.1.2.1.43.30.1.1.6.1.1</t>
  </si>
  <si>
    <t>finDeviceAssociatedMediaPaths</t>
  </si>
  <si>
    <t>1.3.6.1.2.1.43.30.1.1.7.1.1</t>
  </si>
  <si>
    <t>finDeviceAssociatedOutputs</t>
  </si>
  <si>
    <t>1.3.6.1.2.1.43.30.1.1.8.1.1</t>
  </si>
  <si>
    <t>finDeviceStatus</t>
  </si>
  <si>
    <t>1.3.6.1.2.1.43.30.1.1.9.1.1</t>
  </si>
  <si>
    <t>finDeviceDescription</t>
  </si>
  <si>
    <t>1.3.6.1.2.1.43.30.1.1.10.1.1</t>
  </si>
  <si>
    <t>finSupplyDeviceIndex</t>
  </si>
  <si>
    <t>1.3.6.1.2.1.43.31.1.1.2.1.1</t>
  </si>
  <si>
    <t>finSupplyClass</t>
  </si>
  <si>
    <t>1.3.6.1.2.1.43.31.1.1.3.1.1</t>
  </si>
  <si>
    <t>finSupplyType</t>
  </si>
  <si>
    <t>1.3.6.1.2.1.43.31.1.1.4.1.1</t>
  </si>
  <si>
    <t>finSupplyDescription</t>
  </si>
  <si>
    <t>1.3.6.1.2.1.43.31.1.1.5.1.1</t>
  </si>
  <si>
    <t>finSupplyUnit</t>
  </si>
  <si>
    <t>1.3.6.1.2.1.43.31.1.1.6.1.1</t>
  </si>
  <si>
    <t>finSupplyMaxCapacity</t>
  </si>
  <si>
    <t>1.3.6.1.2.1.43.31.1.1.7.1.1</t>
  </si>
  <si>
    <t>finSupplyCurrentLevel</t>
  </si>
  <si>
    <t>1.3.6.1.2.1.43.31.1.1.8.1.1</t>
  </si>
  <si>
    <t>finSupplyColorName</t>
  </si>
  <si>
    <t>1.3.6.1.2.1.43.31.1.1.9.1.1</t>
  </si>
  <si>
    <t>finSupplyMediaInputDeviceIndex</t>
  </si>
  <si>
    <t>1.3.6.1.2.1.43.32.1.1.2.1.1</t>
  </si>
  <si>
    <t>finSupplyMediaInputSupplyIndex</t>
  </si>
  <si>
    <t>1.3.6.1.2.1.43.32.1.1.3.1.1</t>
  </si>
  <si>
    <t>finSupplyMediaInputType</t>
  </si>
  <si>
    <t>1.3.6.1.2.1.43.32.1.1.4.1.1</t>
  </si>
  <si>
    <t>finSupplyMediaInputDimUnit</t>
  </si>
  <si>
    <t>1.3.6.1.2.1.43.32.1.1.5.1.1</t>
  </si>
  <si>
    <t>finSupplyMediaInputMediaDimFeedDir</t>
  </si>
  <si>
    <t>1.3.6.1.2.1.43.32.1.1.6.1.1</t>
  </si>
  <si>
    <t>finSupplyMediaInputMediaDimXFeedDir</t>
  </si>
  <si>
    <t>1.3.6.1.2.1.43.32.1.1.7.1.1</t>
  </si>
  <si>
    <t>finSupplyMediaInputStatus</t>
  </si>
  <si>
    <t>1.3.6.1.2.1.43.32.1.1.8.1.1</t>
  </si>
  <si>
    <t>finSupplyMediaInputMediaName</t>
  </si>
  <si>
    <t>1.3.6.1.2.1.43.32.1.1.9.1.1</t>
  </si>
  <si>
    <t>finSupplyMediaInputName</t>
  </si>
  <si>
    <t>1.3.6.1.2.1.43.32.1.1.10.1.1</t>
  </si>
  <si>
    <t>finSupplyMediaInputDescription</t>
  </si>
  <si>
    <t>1.3.6.1.2.1.43.32.1.1.11.1.1</t>
  </si>
  <si>
    <t>finSupplyMediaInputSecurity</t>
  </si>
  <si>
    <t>1.3.6.1.2.1.43.32.1.1.12.1.1</t>
  </si>
  <si>
    <t>finSupplyMediaInputMediaWeight</t>
  </si>
  <si>
    <t>1.3.6.1.2.1.43.32.1.1.13.1.1</t>
  </si>
  <si>
    <t>finSupplyMediaInputMediaThickness</t>
  </si>
  <si>
    <t>1.3.6.1.2.1.43.32.1.1.14.1.1</t>
  </si>
  <si>
    <t>finSupplyMediaInputMediaType</t>
  </si>
  <si>
    <t>1.3.6.1.2.1.43.32.1.1.15.1.1</t>
  </si>
  <si>
    <t>finDeviceAttributeValueAsInteger</t>
  </si>
  <si>
    <t>1.3.6.1.2.1.43.33.1.1.3.1.1</t>
  </si>
  <si>
    <t>finDeviceAttributeValueAsOctets</t>
  </si>
  <si>
    <t>1.3.6.1.2.1.43.33.1.1.4.1.1</t>
  </si>
  <si>
    <t>epPrtDeviceId</t>
  </si>
  <si>
    <t>1.3.6.1.4.1.1248.1.2.2.1.1.1.1.1</t>
  </si>
  <si>
    <t>1.3.6.1.4.1.1248.1.2.2.1.1.1.2.1</t>
  </si>
  <si>
    <t>1.3.6.1.4.1.1248.1.2.2.1.1.1.3.1</t>
  </si>
  <si>
    <t>epPrtDeviceStatus</t>
  </si>
  <si>
    <t>1.3.6.1.4.1.1248.1.2.2.1.1.1.4.1</t>
  </si>
  <si>
    <t>1.3.6.1.4.1.1248.1.2.2.1.1.1.5.1</t>
  </si>
  <si>
    <t>1.3.6.1.4.1.1248.1.2.2.1.1.1.6.1</t>
  </si>
  <si>
    <t>epPrtEngineSerialNumber</t>
  </si>
  <si>
    <t>1.3.6.1.4.1.1248.1.2.2.1.1.1.7.1</t>
  </si>
  <si>
    <t>epPrtPrinterAssembledDate</t>
  </si>
  <si>
    <t>1.3.6.1.4.1.1248.1.2.2.1.1.1.8.1</t>
  </si>
  <si>
    <t>epPrtDeviceId2</t>
  </si>
  <si>
    <t>1.3.6.1.4.1.1248.1.2.2.1.1.1.9.1</t>
  </si>
  <si>
    <t>epPrtVersionNumber</t>
  </si>
  <si>
    <t>epPrtVersionDescription</t>
  </si>
  <si>
    <t>epPrtVersionUpdatable</t>
  </si>
  <si>
    <t>1.3.6.1.4.1.1248.1.2.2.2.1.1.4.1.1</t>
  </si>
  <si>
    <t>epPrtVersionAttribute</t>
  </si>
  <si>
    <t>epPrtVersionPackageComponentIndex</t>
  </si>
  <si>
    <t>1.3.6.1.4.1.1248.1.2.2.2.1.1.7.1.1</t>
  </si>
  <si>
    <t>1.3.6.1.4.1.1248.1.2.2.2.1.1.8.1.1</t>
  </si>
  <si>
    <t>1.3.6.1.4.1.1248.1.2.2.2.1.1.9.1.1</t>
  </si>
  <si>
    <t>1.3.6.1.4.1.1248.1.2.2.2.1.1.10.1.1</t>
  </si>
  <si>
    <t>epPrtVersionType</t>
  </si>
  <si>
    <t>1.3.6.1.4.1.1248.1.2.2.2.1.1.11.1.1</t>
  </si>
  <si>
    <t>epPrtIfIndex</t>
  </si>
  <si>
    <t>1.3.6.1.4.1.1248.1.2.2.3.1.1.1.1</t>
  </si>
  <si>
    <t>epPrtIfTimeout</t>
  </si>
  <si>
    <t>1.3.6.1.4.1.1248.1.2.2.3.1.1.2.1</t>
  </si>
  <si>
    <t>1.3.6.1.4.1.1248.1.2.2.3.1.1.3.1</t>
  </si>
  <si>
    <t>1.3.6.1.4.1.1248.1.2.2.3.1.1.4.1</t>
  </si>
  <si>
    <t>1.3.6.1.4.1.1248.1.2.2.3.1.1.5.1</t>
  </si>
  <si>
    <t>1.3.6.1.4.1.1248.1.2.2.3.1.1.6.1</t>
  </si>
  <si>
    <t>epPrtMultibinMode</t>
  </si>
  <si>
    <t>1.3.6.1.4.1.1248.1.2.2.3.1.1.7.1</t>
  </si>
  <si>
    <t>1.3.6.1.4.1.1248.1.2.2.3.1.1.8.1</t>
  </si>
  <si>
    <t>epPrtStandbyTimeout</t>
  </si>
  <si>
    <t>1.3.6.1.4.1.1248.1.2.2.3.1.1.9.1</t>
  </si>
  <si>
    <t>epPrtMpMode</t>
  </si>
  <si>
    <t>1.3.6.1.4.1.1248.1.2.2.3.1.1.10.1</t>
  </si>
  <si>
    <t>epPrtLocalDate</t>
  </si>
  <si>
    <t>1.3.6.1.4.1.1248.1.2.2.3.1.1.11.1</t>
  </si>
  <si>
    <t>1.3.6.1.4.1.1248.1.2.2.3.1.1.13.1</t>
  </si>
  <si>
    <t>1.3.6.1.4.1.1248.1.2.2.3.1.1.14.1</t>
  </si>
  <si>
    <t>1.3.6.1.4.1.1248.1.2.2.3.1.1.15.1</t>
  </si>
  <si>
    <t>1.3.6.1.4.1.1248.1.2.2.3.1.1.16.1</t>
  </si>
  <si>
    <t>epPrtPowerOnCount</t>
  </si>
  <si>
    <t>1.3.6.1.4.1.1248.1.2.2.3.1.1.17.1</t>
  </si>
  <si>
    <t>epPrtMoveFromStandby</t>
  </si>
  <si>
    <t>1.3.6.1.4.1.1248.1.2.2.3.1.1.18.1</t>
  </si>
  <si>
    <t>1.3.6.1.4.1.1248.1.2.2.3.1.1.19.1</t>
  </si>
  <si>
    <t>epPrtPhysicalFeedDirMinOffset</t>
  </si>
  <si>
    <t>1.3.6.1.4.1.1248.1.2.2.3.1.1.20.1</t>
  </si>
  <si>
    <t>1.3.6.1.4.1.1248.1.2.2.3.1.1.21.1</t>
  </si>
  <si>
    <t>1.3.6.1.4.1.1248.1.2.2.3.1.1.22.1</t>
  </si>
  <si>
    <t>1.3.6.1.4.1.1248.1.2.2.3.1.1.23.1</t>
  </si>
  <si>
    <t>1.3.6.1.4.1.1248.1.2.2.3.1.1.24.1</t>
  </si>
  <si>
    <t>1.3.6.1.4.1.1248.1.2.2.3.1.1.25.1</t>
  </si>
  <si>
    <t>1.3.6.1.4.1.1248.1.2.2.3.1.1.26.1</t>
  </si>
  <si>
    <t>1.3.6.1.4.1.1248.1.2.2.3.1.1.27.1</t>
  </si>
  <si>
    <t>1.3.6.1.4.1.1248.1.2.2.3.1.1.28.1</t>
  </si>
  <si>
    <t>1.3.6.1.4.1.1248.1.2.2.3.1.1.29.1</t>
  </si>
  <si>
    <t>epPrtHumidity</t>
  </si>
  <si>
    <t>1.3.6.1.4.1.1248.1.2.2.3.1.1.30.1</t>
  </si>
  <si>
    <t>epPrtTimeDifference</t>
  </si>
  <si>
    <t>1.3.6.1.4.1.1248.1.2.2.3.1.1.31.1</t>
  </si>
  <si>
    <t>1.3.6.1.4.1.1248.1.2.2.3.1.1.32.1</t>
  </si>
  <si>
    <t>1.3.6.1.4.1.1248.1.2.2.3.1.1.33.1</t>
  </si>
  <si>
    <t>epPrtLocalDateFormat</t>
  </si>
  <si>
    <t>1.3.6.1.4.1.1248.1.2.2.3.1.1.34.1</t>
  </si>
  <si>
    <t>epPrtConsoleDisplayBWReverse</t>
  </si>
  <si>
    <t>1.3.6.1.4.1.1248.1.2.2.3.1.1.35.1</t>
  </si>
  <si>
    <t>1.3.6.1.4.1.1248.1.2.2.3.1.1.37.1</t>
  </si>
  <si>
    <t>1.3.6.1.4.1.1248.1.2.2.3.1.1.38.1</t>
  </si>
  <si>
    <t>1.3.6.1.4.1.1248.1.2.2.3.1.1.39.1</t>
  </si>
  <si>
    <t>1.3.6.1.4.1.1248.1.2.2.3.1.1.40.1</t>
  </si>
  <si>
    <t>epPrtStandbyMode</t>
  </si>
  <si>
    <t>1.3.6.1.4.1.1248.1.2.2.3.1.1.41.1</t>
  </si>
  <si>
    <t>epPrtConsoleDisplayBacklightSupport</t>
  </si>
  <si>
    <t>1.3.6.1.4.1.1248.1.2.2.3.1.1.42.1</t>
  </si>
  <si>
    <t>epPrtConsoleDisplayBacklight</t>
  </si>
  <si>
    <t>1.3.6.1.4.1.1248.1.2.2.3.1.1.43.1</t>
  </si>
  <si>
    <t>epPrtSilentModeEnable</t>
  </si>
  <si>
    <t>1.3.6.1.4.1.1248.1.2.2.3.1.1.46.1</t>
  </si>
  <si>
    <t>epPrtLocalTimeFormat</t>
  </si>
  <si>
    <t>1.3.6.1.4.1.1248.1.2.2.3.1.1.49.1</t>
  </si>
  <si>
    <t>epPrtSummerTimeEnable</t>
  </si>
  <si>
    <t>1.3.6.1.4.1.1248.1.2.2.3.1.1.50.1</t>
  </si>
  <si>
    <t>epPrtJobInfoDisplaySupport</t>
  </si>
  <si>
    <t>1.3.6.1.4.1.1248.1.2.2.3.1.1.51.1</t>
  </si>
  <si>
    <t>epPrtJobInfoDisplay</t>
  </si>
  <si>
    <t>1.3.6.1.4.1.1248.1.2.2.3.1.1.52.1</t>
  </si>
  <si>
    <t>epPrtIfMinTimeout</t>
  </si>
  <si>
    <t>1.3.6.1.4.1.1248.1.2.2.3.1.1.53.1</t>
  </si>
  <si>
    <t>epPrtIfMaxTimeout</t>
  </si>
  <si>
    <t>1.3.6.1.4.1.1248.1.2.2.3.1.1.54.1</t>
  </si>
  <si>
    <t>epPrtGeneralResetSupport</t>
  </si>
  <si>
    <t>1.3.6.1.4.1.1248.1.2.2.3.1.1.55.1</t>
  </si>
  <si>
    <t>epPrtConsoleDisableSupport</t>
  </si>
  <si>
    <t>1.3.6.1.4.1.1248.1.2.2.3.1.1.56.1</t>
  </si>
  <si>
    <t>1.3.6.1.4.1.1248.1.2.2.3.1.1.57.1</t>
  </si>
  <si>
    <t>1.3.6.1.4.1.1248.1.2.2.3.1.1.58.1</t>
  </si>
  <si>
    <t>1.3.6.1.4.1.1248.1.2.2.3.1.1.59.1</t>
  </si>
  <si>
    <t>1.3.6.1.4.1.1248.1.2.2.3.1.1.60.1</t>
  </si>
  <si>
    <t>1.3.6.1.4.1.1248.1.2.2.3.1.1.61.1</t>
  </si>
  <si>
    <t>1.3.6.1.4.1.1248.1.2.2.3.1.1.62.1</t>
  </si>
  <si>
    <t>epPrtCommonInputManualPriorityEnable</t>
  </si>
  <si>
    <t>1.3.6.1.4.1.1248.1.2.2.3.1.1.63.1</t>
  </si>
  <si>
    <t>epPrtCommonSettingPaperCassettePopupEnable</t>
  </si>
  <si>
    <t>1.3.6.1.4.1.1248.1.2.2.3.1.1.64.1</t>
  </si>
  <si>
    <t>epPrtCommonExtendStackingTray</t>
  </si>
  <si>
    <t>1.3.6.1.4.1.1248.1.2.2.3.1.1.65.1</t>
  </si>
  <si>
    <t>epPrtAutoPowerOnEnable</t>
  </si>
  <si>
    <t>1.3.6.1.4.1.1248.1.2.2.3.1.1.66.1</t>
  </si>
  <si>
    <t>1.3.6.1.4.1.1248.1.2.2.3.1.1.67.1</t>
  </si>
  <si>
    <t>1.3.6.1.4.1.1248.1.2.2.3.1.1.68.1</t>
  </si>
  <si>
    <t>1.3.6.1.4.1.1248.1.2.2.3.1.1.69.1</t>
  </si>
  <si>
    <t>1.3.6.1.4.1.1248.1.2.2.3.1.1.70.1</t>
  </si>
  <si>
    <t>1.3.6.1.4.1.1248.1.2.2.3.1.1.71.1</t>
  </si>
  <si>
    <t>epPrtStandbyTimeoutAfterPrint</t>
  </si>
  <si>
    <t>1.3.6.1.4.1.1248.1.2.2.3.1.1.72.1</t>
  </si>
  <si>
    <t>epPrtCutBtnEnable</t>
  </si>
  <si>
    <t>1.3.6.1.4.1.1248.1.2.2.3.1.1.73.1</t>
  </si>
  <si>
    <t>1.3.6.1.4.1.1248.1.2.2.3.1.1.74.1</t>
  </si>
  <si>
    <t>1.3.6.1.4.1.1248.1.2.2.3.1.1.75.1</t>
  </si>
  <si>
    <t>1.3.6.1.4.1.1248.1.2.2.3.1.1.76.1</t>
  </si>
  <si>
    <t>1.3.6.1.4.1.1248.1.2.2.3.1.1.77.1</t>
  </si>
  <si>
    <t>epPrtConsoleLockEnableSupport</t>
  </si>
  <si>
    <t>1.3.6.1.4.1.1248.1.2.2.3.1.1.78.1</t>
  </si>
  <si>
    <t>epPrtConsoleLockEnable</t>
  </si>
  <si>
    <t>1.3.6.1.4.1.1248.1.2.2.3.1.1.79.1</t>
  </si>
  <si>
    <t>epPrtStandby1Data</t>
  </si>
  <si>
    <t>1.3.6.1.4.1.1248.1.2.2.3.2.1.2.1.1</t>
  </si>
  <si>
    <t>1.3.6.1.4.1.1248.1.2.2.3.3.1.2.1.1</t>
  </si>
  <si>
    <t>1.3.6.1.4.1.1248.1.2.2.3.3.1.3.1.1</t>
  </si>
  <si>
    <t>1.3.6.1.4.1.1248.1.2.2.3.3.1.4.1.1</t>
  </si>
  <si>
    <t>epPrtSelectableStandbyMode</t>
  </si>
  <si>
    <t>1.3.6.1.4.1.1248.1.2.2.3.4.1.2.1</t>
  </si>
  <si>
    <t>epPrtAutoShutdownEnable</t>
  </si>
  <si>
    <t>1.3.6.1.4.1.1248.1.2.2.3.5.1.1.1</t>
  </si>
  <si>
    <t>1.3.6.1.4.1.1248.1.2.2.3.5.1.2.1</t>
  </si>
  <si>
    <t>epPrtAutoShutdownTimeoutMaxData</t>
  </si>
  <si>
    <t>1.3.6.1.4.1.1248.1.2.2.3.5.1.3.1</t>
  </si>
  <si>
    <t>epPrtAutoShutdownTimeoutData</t>
  </si>
  <si>
    <t>1.3.6.1.4.1.1248.1.2.2.3.5.1.4.1</t>
  </si>
  <si>
    <t>epPrtAutoShutdownTimerEnable</t>
  </si>
  <si>
    <t>1.3.6.1.4.1.1248.1.2.2.3.5.1.5.1</t>
  </si>
  <si>
    <t>epPrtAutoShutdownTimeToPowerOn</t>
  </si>
  <si>
    <t>1.3.6.1.4.1.1248.1.2.2.3.5.1.6.1</t>
  </si>
  <si>
    <t>epPrtAutoShutdownTimeToPowerOff</t>
  </si>
  <si>
    <t>1.3.6.1.4.1.1248.1.2.2.3.5.1.7.1</t>
  </si>
  <si>
    <t>epPrtAutoShutdownTimerEffectiveDate</t>
  </si>
  <si>
    <t>1.3.6.1.4.1.1248.1.2.2.3.5.1.8.1</t>
  </si>
  <si>
    <t>epPrtAutoShutdownTimeoutSupport</t>
  </si>
  <si>
    <t>1.3.6.1.4.1.1248.1.2.2.3.5.1.9.1</t>
  </si>
  <si>
    <t>epPrtAutoShutdownTimeoutSelectableData</t>
  </si>
  <si>
    <t>1.3.6.1.4.1.1248.1.2.2.3.6.1.2.1.1</t>
  </si>
  <si>
    <t>epPrtInterfaceType</t>
  </si>
  <si>
    <t>epPrtInterfaceTableNum</t>
  </si>
  <si>
    <t>epPrtInterfaceUse</t>
  </si>
  <si>
    <t>epPrtInterfaceConnectedCount</t>
  </si>
  <si>
    <t>1.3.6.1.4.1.1248.1.2.2.4.1.1.6.1.1</t>
  </si>
  <si>
    <t>1.3.6.1.4.1.1248.1.2.2.4.2.1.2.1.1</t>
  </si>
  <si>
    <t>1.3.6.1.4.1.1248.1.2.2.4.2.1.3.1.1</t>
  </si>
  <si>
    <t>epPrtParallelIfBufferSize</t>
  </si>
  <si>
    <t>1.3.6.1.4.1.1248.1.2.2.4.2.1.4.1.1</t>
  </si>
  <si>
    <t>epPrtSerialIfWordLength</t>
  </si>
  <si>
    <t>1.3.6.1.4.1.1248.1.2.2.4.3.1.2.1.1</t>
  </si>
  <si>
    <t>1.3.6.1.4.1.1248.1.2.2.4.3.1.3.1.1</t>
  </si>
  <si>
    <t>1.3.6.1.4.1.1248.1.2.2.4.3.1.4.1.1</t>
  </si>
  <si>
    <t>1.3.6.1.4.1.1248.1.2.2.4.3.1.5.1.1</t>
  </si>
  <si>
    <t>1.3.6.1.4.1.1248.1.2.2.4.3.1.6.1.1</t>
  </si>
  <si>
    <t>1.3.6.1.4.1.1248.1.2.2.4.3.1.7.1.1</t>
  </si>
  <si>
    <t>1.3.6.1.4.1.1248.1.2.2.4.3.1.8.1.1</t>
  </si>
  <si>
    <t>1.3.6.1.4.1.1248.1.2.2.4.3.1.9.1.1</t>
  </si>
  <si>
    <t>1.3.6.1.4.1.1248.1.2.2.4.3.1.10.1.1</t>
  </si>
  <si>
    <t>1.3.6.1.4.1.1248.1.2.2.4.4.1.2.1.1</t>
  </si>
  <si>
    <t>1.3.6.1.4.1.1248.1.2.2.4.4.1.3.1.1</t>
  </si>
  <si>
    <t>1.3.6.1.4.1.1248.1.2.2.4.4.1.4.1.1</t>
  </si>
  <si>
    <t>1.3.6.1.4.1.1248.1.2.2.4.4.1.5.1.1</t>
  </si>
  <si>
    <t>1.3.6.1.4.1.1248.1.2.2.4.4.1.6.1.1</t>
  </si>
  <si>
    <t>1.3.6.1.4.1.1248.1.2.2.4.4.1.7.1.1</t>
  </si>
  <si>
    <t>1.3.6.1.4.1.1248.1.2.2.4.4.1.8.1.1</t>
  </si>
  <si>
    <t>1.3.6.1.4.1.1248.1.2.2.4.4.1.9.1.1</t>
  </si>
  <si>
    <t>1.3.6.1.4.1.1248.1.2.2.4.4.1.10.1.1</t>
  </si>
  <si>
    <t>1.3.6.1.4.1.1248.1.2.2.4.4.1.11.1.1</t>
  </si>
  <si>
    <t>1.3.6.1.4.1.1248.1.2.2.4.4.1.12.1.1</t>
  </si>
  <si>
    <t>1.3.6.1.4.1.1248.1.2.2.4.4.1.13.1.1</t>
  </si>
  <si>
    <t>1.3.6.1.4.1.1248.1.2.2.4.4.1.14.1.1</t>
  </si>
  <si>
    <t>1.3.6.1.4.1.1248.1.2.2.4.4.1.15.1.1</t>
  </si>
  <si>
    <t>1.3.6.1.4.1.1248.1.2.2.4.4.1.16.1.1</t>
  </si>
  <si>
    <t>1.3.6.1.4.1.1248.1.2.2.4.4.1.17.1.1</t>
  </si>
  <si>
    <t>1.3.6.1.4.1.1248.1.2.2.4.4.1.18.1.1</t>
  </si>
  <si>
    <t>1.3.6.1.4.1.1248.1.2.2.4.4.1.19.1.1</t>
  </si>
  <si>
    <t>1.3.6.1.4.1.1248.1.2.2.4.4.1.20.1.1</t>
  </si>
  <si>
    <t>1.3.6.1.4.1.1248.1.2.2.4.4.1.21.1.1</t>
  </si>
  <si>
    <t>1.3.6.1.4.1.1248.1.2.2.4.4.1.22.1.1</t>
  </si>
  <si>
    <t>1.3.6.1.4.1.1248.1.2.2.4.4.1.23.1.1</t>
  </si>
  <si>
    <t>1.3.6.1.4.1.1248.1.2.2.4.4.1.24.1.1</t>
  </si>
  <si>
    <t>1.3.6.1.4.1.1248.1.2.2.4.4.1.25.1.1</t>
  </si>
  <si>
    <t>1.3.6.1.4.1.1248.1.2.2.4.4.1.26.1.1</t>
  </si>
  <si>
    <t>1.3.6.1.4.1.1248.1.2.2.4.4.1.27.1.1</t>
  </si>
  <si>
    <t>1.3.6.1.4.1.1248.1.2.2.4.4.1.28.1.1</t>
  </si>
  <si>
    <t>1.3.6.1.4.1.1248.1.2.2.4.4.1.29.1.1</t>
  </si>
  <si>
    <t>1.3.6.1.4.1.1248.1.2.2.4.4.1.30.1.1</t>
  </si>
  <si>
    <t>1.3.6.1.4.1.1248.1.2.2.4.4.1.31.1.1</t>
  </si>
  <si>
    <t>1.3.6.1.4.1.1248.1.2.2.4.4.1.32.1.1</t>
  </si>
  <si>
    <t>1.3.6.1.4.1.1248.1.2.2.4.4.1.33.1.1</t>
  </si>
  <si>
    <t>1.3.6.1.4.1.1248.1.2.2.4.4.1.34.1.1</t>
  </si>
  <si>
    <t>1.3.6.1.4.1.1248.1.2.2.4.5.1.2.1.1</t>
  </si>
  <si>
    <t>1.3.6.1.4.1.1248.1.2.2.4.6.1.2.1.1</t>
  </si>
  <si>
    <t>1.3.6.1.4.1.1248.1.2.2.4.6.1.3.1.1</t>
  </si>
  <si>
    <t>1.3.6.1.4.1.1248.1.2.2.4.7.1.2.1.1</t>
  </si>
  <si>
    <t>1.3.6.1.4.1.1248.1.2.2.4.7.1.3.1.1</t>
  </si>
  <si>
    <t>1.3.6.1.4.1.1248.1.2.2.4.8.1.2.1.1</t>
  </si>
  <si>
    <t>1.3.6.1.4.1.1248.1.2.2.4.9.1.2.1.1</t>
  </si>
  <si>
    <t>1.3.6.1.4.1.1248.1.2.2.5.1.1.2.1.1</t>
  </si>
  <si>
    <t>1.3.6.1.4.1.1248.1.2.2.5.1.1.3.1.1</t>
  </si>
  <si>
    <t>1.3.6.1.4.1.1248.1.2.2.5.1.1.4.1.1</t>
  </si>
  <si>
    <t>1.3.6.1.4.1.1248.1.2.2.5.1.1.5.1.1</t>
  </si>
  <si>
    <t>epPrtSkipBlankPage</t>
  </si>
  <si>
    <t>1.3.6.1.4.1.1248.1.2.2.5.1.1.6.1.1</t>
  </si>
  <si>
    <t>1.3.6.1.4.1.1248.1.2.2.5.1.1.7.1.1</t>
  </si>
  <si>
    <t>1.3.6.1.4.1.1248.1.2.2.5.1.1.8.1.1</t>
  </si>
  <si>
    <t>1.3.6.1.4.1.1248.1.2.2.5.1.1.9.1.1</t>
  </si>
  <si>
    <t>1.3.6.1.4.1.1248.1.2.2.5.1.1.10.1.1</t>
  </si>
  <si>
    <t>1.3.6.1.4.1.1248.1.2.2.5.1.1.11.1.1</t>
  </si>
  <si>
    <t>1.3.6.1.4.1.1248.1.2.2.5.1.1.12.1.1</t>
  </si>
  <si>
    <t>1.3.6.1.4.1.1248.1.2.2.5.1.1.13.1.1</t>
  </si>
  <si>
    <t>1.3.6.1.4.1.1248.1.2.2.5.1.1.14.1.1</t>
  </si>
  <si>
    <t>1.3.6.1.4.1.1248.1.2.2.5.1.1.15.1.1</t>
  </si>
  <si>
    <t>1.3.6.1.4.1.1248.1.2.2.5.1.1.16.1.1</t>
  </si>
  <si>
    <t>epPrtSizeIgnore</t>
  </si>
  <si>
    <t>1.3.6.1.4.1.1248.1.2.2.5.1.1.17.1.1</t>
  </si>
  <si>
    <t>epPrtAutoContinue</t>
  </si>
  <si>
    <t>1.3.6.1.4.1.1248.1.2.2.5.1.1.18.1.1</t>
  </si>
  <si>
    <t>1.3.6.1.4.1.1248.1.2.2.5.1.1.19.1.1</t>
  </si>
  <si>
    <t>1.3.6.1.4.1.1248.1.2.2.5.1.1.20.1.1</t>
  </si>
  <si>
    <t>epPrtPaperTypeMode</t>
  </si>
  <si>
    <t>1.3.6.1.4.1.1248.1.2.2.5.1.1.21.1.1</t>
  </si>
  <si>
    <t>1.3.6.1.4.1.1248.1.2.2.5.1.1.22.1.1</t>
  </si>
  <si>
    <t>1.3.6.1.4.1.1248.1.2.2.5.1.1.24.1.1</t>
  </si>
  <si>
    <t>1.3.6.1.4.1.1248.1.2.2.5.1.1.25.1.1</t>
  </si>
  <si>
    <t>1.3.6.1.4.1.1248.1.2.2.5.1.1.26.1.1</t>
  </si>
  <si>
    <t>1.3.6.1.4.1.1248.1.2.2.5.1.1.27.1.1</t>
  </si>
  <si>
    <t>1.3.6.1.4.1.1248.1.2.2.5.1.1.28.1.1</t>
  </si>
  <si>
    <t>1.3.6.1.4.1.1248.1.2.2.5.1.1.29.1.1</t>
  </si>
  <si>
    <t>1.3.6.1.4.1.1248.1.2.2.5.1.1.30.1.1</t>
  </si>
  <si>
    <t>1.3.6.1.4.1.1248.1.2.2.5.1.1.31.1.1</t>
  </si>
  <si>
    <t>1.3.6.1.4.1.1248.1.2.2.5.1.1.32.1.1</t>
  </si>
  <si>
    <t>epPrtPaperTypeConfirm</t>
  </si>
  <si>
    <t>1.3.6.1.4.1.1248.1.2.2.5.1.1.33.1.1</t>
  </si>
  <si>
    <t>1.3.6.1.4.1.1248.1.2.2.5.1.1.34.1.1</t>
  </si>
  <si>
    <t>epPrtOverrideA4WithLTR</t>
  </si>
  <si>
    <t>1.3.6.1.4.1.1248.1.2.2.5.1.1.35.1.1</t>
  </si>
  <si>
    <t>epPrtConvertToSimplex</t>
  </si>
  <si>
    <t>1.3.6.1.4.1.1248.1.2.2.5.1.1.36.1.1</t>
  </si>
  <si>
    <t>epPrtOverrideA4WithLTRSupport</t>
  </si>
  <si>
    <t>1.3.6.1.4.1.1248.1.2.2.5.1.1.37.1.1</t>
  </si>
  <si>
    <t>epPrtReduceRubbingByPlatenGapEnable</t>
  </si>
  <si>
    <t>1.3.6.1.4.1.1248.1.2.2.5.1.1.38.1.1</t>
  </si>
  <si>
    <t>epPrtAskPaperSize</t>
  </si>
  <si>
    <t>1.3.6.1.4.1.1248.1.2.2.5.1.1.39.1.1</t>
  </si>
  <si>
    <t>epPrtAskPaperSizeSupport</t>
  </si>
  <si>
    <t>1.3.6.1.4.1.1248.1.2.2.5.1.1.40.1.1</t>
  </si>
  <si>
    <t>epPrtAskPaperSizeTime</t>
  </si>
  <si>
    <t>1.3.6.1.4.1.1248.1.2.2.5.1.1.41.1.1</t>
  </si>
  <si>
    <t>epPrtDotCorrection2</t>
  </si>
  <si>
    <t>1.3.6.1.4.1.1248.1.2.2.5.1.1.42.1.1</t>
  </si>
  <si>
    <t>epPrtCheckPaperWidthEnable</t>
  </si>
  <si>
    <t>1.3.6.1.4.1.1248.1.2.2.5.1.1.43.1.1</t>
  </si>
  <si>
    <t>epPrtDryTime</t>
  </si>
  <si>
    <t>1.3.6.1.4.1.1248.1.2.2.5.1.1.44.1.1</t>
  </si>
  <si>
    <t>epPrtDryTimeSupport</t>
  </si>
  <si>
    <t>1.3.6.1.4.1.1248.1.2.2.5.1.1.45.1.1</t>
  </si>
  <si>
    <t>epPrtInkRemainingDisplay</t>
  </si>
  <si>
    <t>1.3.6.1.4.1.1248.1.2.2.5.1.1.46.1.1</t>
  </si>
  <si>
    <t>epPrtInkLowDisplay</t>
  </si>
  <si>
    <t>1.3.6.1.4.1.1248.1.2.2.5.1.1.47.1.1</t>
  </si>
  <si>
    <t>epPrtColorPrintCountModeEnable</t>
  </si>
  <si>
    <t>1.3.6.1.4.1.1248.1.2.2.5.1.1.48.1.1</t>
  </si>
  <si>
    <t>epPrtDensityAdjustPrintSpeedEnable</t>
  </si>
  <si>
    <t>1.3.6.1.4.1.1248.1.2.2.5.1.1.49.1.1</t>
  </si>
  <si>
    <t>1.3.6.1.4.1.1248.1.2.2.5.1.1.50.1.1</t>
  </si>
  <si>
    <t>1.3.6.1.4.1.1248.1.2.2.5.1.1.51.1.1</t>
  </si>
  <si>
    <t>epPrtAdjustmentSetting</t>
  </si>
  <si>
    <t>1.3.6.1.4.1.1248.1.2.2.5.1.1.52.1.1</t>
  </si>
  <si>
    <t>epPrtGeneralReduceRubbingByPlatenGapModeSupport</t>
  </si>
  <si>
    <t>1.3.6.1.4.1.1248.1.2.2.5.1.1.53.1.1</t>
  </si>
  <si>
    <t>epPrtGeneralReduceRubbingByPlatenGapMode</t>
  </si>
  <si>
    <t>1.3.6.1.4.1.1248.1.2.2.5.1.1.54.1.1</t>
  </si>
  <si>
    <t>epPrtGeneralDuplexPrintWaitMode</t>
  </si>
  <si>
    <t>1.3.6.1.4.1.1248.1.2.2.5.1.1.55.1.1</t>
  </si>
  <si>
    <t>epPrtGeneralSpecialPageCounterModeEnable</t>
  </si>
  <si>
    <t>1.3.6.1.4.1.1248.1.2.2.5.1.1.56.1.1</t>
  </si>
  <si>
    <t>epPrtGeneralPrintJobQualitySettingEnable</t>
  </si>
  <si>
    <t>1.3.6.1.4.1.1248.1.2.2.5.1.1.57.1.1</t>
  </si>
  <si>
    <t>1.3.6.1.4.1.1248.1.2.2.5.1.1.58.1.1</t>
  </si>
  <si>
    <t>1.3.6.1.4.1.1248.1.2.2.5.1.1.59.1.1</t>
  </si>
  <si>
    <t>1.3.6.1.4.1.1248.1.2.2.5.1.1.60.1.1</t>
  </si>
  <si>
    <t>1.3.6.1.4.1.1248.1.2.2.5.1.1.61.1.1</t>
  </si>
  <si>
    <t>1.3.6.1.4.1.1248.1.2.2.5.1.1.62.1.1</t>
  </si>
  <si>
    <t>1.3.6.1.4.1.1248.1.2.2.5.1.1.63.1.1</t>
  </si>
  <si>
    <t>1.3.6.1.4.1.1248.1.2.2.5.1.1.64.1.1</t>
  </si>
  <si>
    <t>1.3.6.1.4.1.1248.1.2.2.5.1.1.65.1.1</t>
  </si>
  <si>
    <t>epPrtGeneralPrintJobBlueBalance</t>
  </si>
  <si>
    <t>1.3.6.1.4.1.1248.1.2.2.5.1.1.66.1.1</t>
  </si>
  <si>
    <t>1.3.6.1.4.1.1248.1.2.2.5.1.1.67.1.1</t>
  </si>
  <si>
    <t>epPrtGeneralJobCtrlLangCharSet</t>
  </si>
  <si>
    <t>1.3.6.1.4.1.1248.1.2.2.5.1.1.68.1.1</t>
  </si>
  <si>
    <t>1.3.6.1.4.1.1248.1.2.2.5.1.1.69.1.1</t>
  </si>
  <si>
    <t>1.3.6.1.4.1.1248.1.2.2.5.1.1.70.1.1</t>
  </si>
  <si>
    <t>1.3.6.1.4.1.1248.1.2.2.5.1.1.71.1.1</t>
  </si>
  <si>
    <t>1.3.6.1.4.1.1248.1.2.2.5.1.1.72.1.1</t>
  </si>
  <si>
    <t>1.3.6.1.4.1.1248.1.2.2.5.1.1.73.1.1</t>
  </si>
  <si>
    <t>1.3.6.1.4.1.1248.1.2.2.5.1.1.74.1.1</t>
  </si>
  <si>
    <t>1.3.6.1.4.1.1248.1.2.2.5.1.1.75.1.1</t>
  </si>
  <si>
    <t>1.3.6.1.4.1.1248.1.2.2.5.1.1.76.1.1</t>
  </si>
  <si>
    <t>1.3.6.1.4.1.1248.1.2.2.5.1.1.77.1.1</t>
  </si>
  <si>
    <t>1.3.6.1.4.1.1248.1.2.2.5.1.1.78.1.1</t>
  </si>
  <si>
    <t>1.3.6.1.4.1.1248.1.2.2.5.1.1.79.1.1</t>
  </si>
  <si>
    <t>1.3.6.1.4.1.1248.1.2.2.5.1.1.80.1.1</t>
  </si>
  <si>
    <t>1.3.6.1.4.1.1248.1.2.2.5.1.1.81.1.1</t>
  </si>
  <si>
    <t>1.3.6.1.4.1.1248.1.2.2.5.1.1.82.1.1</t>
  </si>
  <si>
    <t>1.3.6.1.4.1.1248.1.2.2.5.1.1.83.1.1</t>
  </si>
  <si>
    <t>1.3.6.1.4.1.1248.1.2.2.5.1.1.84.1.1</t>
  </si>
  <si>
    <t>1.3.6.1.4.1.1248.1.2.2.5.1.1.85.1.1</t>
  </si>
  <si>
    <t>1.3.6.1.4.1.1248.1.2.2.5.1.1.86.1.1</t>
  </si>
  <si>
    <t>1.3.6.1.4.1.1248.1.2.2.5.1.1.87.1.1</t>
  </si>
  <si>
    <t>1.3.6.1.4.1.1248.1.2.2.5.1.1.88.1.1</t>
  </si>
  <si>
    <t>1.3.6.1.4.1.1248.1.2.2.5.1.1.89.1.1</t>
  </si>
  <si>
    <t>1.3.6.1.4.1.1248.1.2.2.5.1.1.90.1.1</t>
  </si>
  <si>
    <t>1.3.6.1.4.1.1248.1.2.2.5.1.1.91.1.1</t>
  </si>
  <si>
    <t>1.3.6.1.4.1.1248.1.2.2.5.1.1.92.1.1</t>
  </si>
  <si>
    <t>1.3.6.1.4.1.1248.1.2.2.5.1.1.93.1.1</t>
  </si>
  <si>
    <t>1.3.6.1.4.1.1248.1.2.2.5.1.1.94.1.1</t>
  </si>
  <si>
    <t>1.3.6.1.4.1.1248.1.2.2.5.1.1.95.1.1</t>
  </si>
  <si>
    <t>1.3.6.1.4.1.1248.1.2.2.5.1.1.96.1.1</t>
  </si>
  <si>
    <t>1.3.6.1.4.1.1248.1.2.2.5.1.1.97.1.1</t>
  </si>
  <si>
    <t>1.3.6.1.4.1.1248.1.2.2.5.1.1.98.1.1</t>
  </si>
  <si>
    <t>1.3.6.1.4.1.1248.1.2.2.5.1.1.99.1.1</t>
  </si>
  <si>
    <t>1.3.6.1.4.1.1248.1.2.2.5.1.1.100.1.1</t>
  </si>
  <si>
    <t>1.3.6.1.4.1.1248.1.2.2.5.1.1.101.1.1</t>
  </si>
  <si>
    <t>epPrtGeneralActionReplacingMedia</t>
  </si>
  <si>
    <t>1.3.6.1.4.1.1248.1.2.2.5.1.1.102.1.1</t>
  </si>
  <si>
    <t>epPrtGeneralPrintMaxDutyModeLinkageSettingForCopy</t>
  </si>
  <si>
    <t>1.3.6.1.4.1.1248.1.2.2.5.1.1.103.1.1</t>
  </si>
  <si>
    <t>epPrtGeneralUserCounterMode</t>
  </si>
  <si>
    <t>1.3.6.1.4.1.1248.1.2.2.5.1.1.104.1.1</t>
  </si>
  <si>
    <t>epPrtGeneralFLIncreaseSettingSupport</t>
  </si>
  <si>
    <t>1.3.6.1.4.1.1248.1.2.2.5.1.1.105.1.1</t>
  </si>
  <si>
    <t>epPrtGeneralFLIncreaseSetting</t>
  </si>
  <si>
    <t>1.3.6.1.4.1.1248.1.2.2.5.1.1.106.1.1</t>
  </si>
  <si>
    <t>epPrtGeneralPrintQuality</t>
  </si>
  <si>
    <t>1.3.6.1.4.1.1248.1.2.2.5.1.1.107.1.1</t>
  </si>
  <si>
    <t>epPrtGeneralPrintJobColorAdjustmentMode</t>
  </si>
  <si>
    <t>1.3.6.1.4.1.1248.1.2.2.5.1.1.108.1.1</t>
  </si>
  <si>
    <t>epPrtResolutionSupport</t>
  </si>
  <si>
    <t>1.3.6.1.4.1.1248.1.2.2.5.1.1.109.1.1</t>
  </si>
  <si>
    <t>1.3.6.1.4.1.1248.1.2.2.5.1.1.110.1.1</t>
  </si>
  <si>
    <t>1.3.6.1.4.1.1248.1.2.2.5.1.1.111.1.1</t>
  </si>
  <si>
    <t>1.3.6.1.4.1.1248.1.2.2.5.1.1.112.1.1</t>
  </si>
  <si>
    <t>1.3.6.1.4.1.1248.1.2.2.5.1.1.113.1.1</t>
  </si>
  <si>
    <t>1.3.6.1.4.1.1248.1.2.2.5.3.1.1.1.1</t>
  </si>
  <si>
    <t>1.3.6.1.4.1.1248.1.2.2.5.3.1.2.1.1</t>
  </si>
  <si>
    <t>epPrtFavoriteName</t>
  </si>
  <si>
    <t>1.3.6.1.4.1.1248.1.2.2.5.4.1.2.1.1</t>
  </si>
  <si>
    <t>epPrtPaperSizeName</t>
  </si>
  <si>
    <t>1.3.6.1.4.1.1248.1.2.2.6.1.1.2.1.1</t>
  </si>
  <si>
    <t>1.3.6.1.4.1.1248.1.2.2.6.1.1.3.1.1</t>
  </si>
  <si>
    <t>1.3.6.1.4.1.1248.1.2.2.6.1.1.4.1.1</t>
  </si>
  <si>
    <t>1.3.6.1.4.1.1248.1.2.2.6.1.1.5.1.1</t>
  </si>
  <si>
    <t>1.3.6.1.4.1.1248.1.2.2.6.1.1.6.1.1</t>
  </si>
  <si>
    <t>1.3.6.1.4.1.1248.1.2.2.6.1.1.7.1.1</t>
  </si>
  <si>
    <t>1.3.6.1.4.1.1248.1.2.2.6.1.1.8.1.1</t>
  </si>
  <si>
    <t>1.3.6.1.4.1.1248.1.2.2.6.1.1.9.1.1</t>
  </si>
  <si>
    <t>1.3.6.1.4.1.1248.1.2.2.6.1.1.10.1.1</t>
  </si>
  <si>
    <t>1.3.6.1.4.1.1248.1.2.2.6.1.1.11.1.1</t>
  </si>
  <si>
    <t>1.3.6.1.4.1.1248.1.2.2.6.1.1.12.1.1</t>
  </si>
  <si>
    <t>1.3.6.1.4.1.1248.1.2.2.6.1.1.13.1.1</t>
  </si>
  <si>
    <t>epPrtPaperSizeFeedDirectionSupport</t>
  </si>
  <si>
    <t>1.3.6.1.4.1.1248.1.2.2.6.1.1.14.1.3</t>
  </si>
  <si>
    <t>epPrtPaperSizeCountSupport</t>
  </si>
  <si>
    <t>1.3.6.1.4.1.1248.1.2.2.6.1.1.15.1.1</t>
  </si>
  <si>
    <t>epPrtPaperSizeType</t>
  </si>
  <si>
    <t>1.3.6.1.4.1.1248.1.2.2.6.1.1.16.1.1</t>
  </si>
  <si>
    <t>epPrtPaperSizeDirection</t>
  </si>
  <si>
    <t>1.3.6.1.4.1.1248.1.2.2.6.1.1.17.1.1</t>
  </si>
  <si>
    <t>epPrtPaperSizeCountType</t>
  </si>
  <si>
    <t>1.3.6.1.4.1.1248.1.2.2.6.1.1.18.1.1</t>
  </si>
  <si>
    <t>epPrtPaperSizePunchedSupport</t>
  </si>
  <si>
    <t>1.3.6.1.4.1.1248.1.2.2.6.1.1.19.1.1</t>
  </si>
  <si>
    <t>epPrtPaperSize2Type</t>
  </si>
  <si>
    <t>1.3.6.1.4.1.1248.1.2.2.6.2.1.2.1.1</t>
  </si>
  <si>
    <t>epPrtPaperSize2CounterUnit</t>
  </si>
  <si>
    <t>1.3.6.1.4.1.1248.1.2.2.6.2.1.3.1.1</t>
  </si>
  <si>
    <t>epPrtPaperSize2Count</t>
  </si>
  <si>
    <t>1.3.6.1.4.1.1248.1.2.2.6.2.1.4.1.1</t>
  </si>
  <si>
    <t>epPrtPaperSize2ProcessColorCount</t>
  </si>
  <si>
    <t>1.3.6.1.4.1.1248.1.2.2.6.2.1.5.1.1</t>
  </si>
  <si>
    <t>epPrtPaperSize2SimplexCount</t>
  </si>
  <si>
    <t>1.3.6.1.4.1.1248.1.2.2.6.2.1.6.1.1</t>
  </si>
  <si>
    <t>epPrtPaperSize2ProcessColorSimplexCount</t>
  </si>
  <si>
    <t>1.3.6.1.4.1.1248.1.2.2.6.2.1.7.1.1</t>
  </si>
  <si>
    <t>epPrtPaperSize2Counter2Unit</t>
  </si>
  <si>
    <t>1.3.6.1.4.1.1248.1.2.2.6.2.1.8.1.1</t>
  </si>
  <si>
    <t>epPrtPaperSize2Count2</t>
  </si>
  <si>
    <t>1.3.6.1.4.1.1248.1.2.2.6.2.1.9.1.1</t>
  </si>
  <si>
    <t>epPrtPaperSize2ProcessColorCount2</t>
  </si>
  <si>
    <t>1.3.6.1.4.1.1248.1.2.2.6.2.1.10.1.1</t>
  </si>
  <si>
    <t>epPrtPaperSize2SimplexCount2</t>
  </si>
  <si>
    <t>1.3.6.1.4.1.1248.1.2.2.6.2.1.11.1.1</t>
  </si>
  <si>
    <t>1.3.6.1.4.1.1248.1.2.2.6.2.1.12.1.1</t>
  </si>
  <si>
    <t>1.3.6.1.4.1.1248.1.2.2.6.3.1.1.1.1</t>
  </si>
  <si>
    <t>1.3.6.1.4.1.1248.1.2.2.6.3.1.2.1.1</t>
  </si>
  <si>
    <t>1.3.6.1.4.1.1248.1.2.2.6.3.1.3.1.1</t>
  </si>
  <si>
    <t>1.3.6.1.4.1.1248.1.2.2.6.5.1.2.1.1</t>
  </si>
  <si>
    <t>1.3.6.1.4.1.1248.1.2.2.6.5.1.3.1.1</t>
  </si>
  <si>
    <t>1.3.6.1.4.1.1248.1.2.2.6.5.1.4.1.1</t>
  </si>
  <si>
    <t>epPrtPresetMediaDimXFeedDir</t>
  </si>
  <si>
    <t>1.3.6.1.4.1.1248.1.2.2.6.5.1.5.1.1</t>
  </si>
  <si>
    <t>1.3.6.1.4.1.1248.1.2.2.6.6.1.1.1.1</t>
  </si>
  <si>
    <t>1.3.6.1.4.1.1248.1.2.2.6.6.1.2.1.1</t>
  </si>
  <si>
    <t>1.3.6.1.4.1.1248.1.2.2.6.6.1.3.1.1</t>
  </si>
  <si>
    <t>1.3.6.1.4.1.1248.1.2.2.6.6.1.4.1.1</t>
  </si>
  <si>
    <t>1.3.6.1.4.1.1248.1.2.2.6.6.1.5.1.1</t>
  </si>
  <si>
    <t>1.3.6.1.4.1.1248.1.2.2.6.6.1.6.1.1</t>
  </si>
  <si>
    <t>1.3.6.1.4.1.1248.1.2.2.6.6.1.7.1.1</t>
  </si>
  <si>
    <t>1.3.6.1.4.1.1248.1.2.2.6.6.1.8.1.1</t>
  </si>
  <si>
    <t>epPrtPaperTypesName</t>
  </si>
  <si>
    <t>1.3.6.1.4.1.1248.1.2.2.7.1.1.2.1.1</t>
  </si>
  <si>
    <t>1.3.6.1.4.1.1248.1.2.2.7.1.1.3.1.1</t>
  </si>
  <si>
    <t>1.3.6.1.4.1.1248.1.2.2.7.1.1.4.1.1</t>
  </si>
  <si>
    <t>1.3.6.1.4.1.1248.1.2.2.7.1.1.5.1.1</t>
  </si>
  <si>
    <t>epPrtPaperTypesProcessColorCount</t>
  </si>
  <si>
    <t>1.3.6.1.4.1.1248.1.2.2.7.1.1.6.1.1</t>
  </si>
  <si>
    <t>1.3.6.1.4.1.1248.1.2.2.7.1.1.7.1.1</t>
  </si>
  <si>
    <t>1.3.6.1.4.1.1248.1.2.2.7.1.1.8.1.1</t>
  </si>
  <si>
    <t>epPrtPaperTypesInputCountUnit</t>
  </si>
  <si>
    <t>1.3.6.1.4.1.1248.1.2.2.7.1.1.9.1.2</t>
  </si>
  <si>
    <t>epPrtPaperTypesInputCount</t>
  </si>
  <si>
    <t>1.3.6.1.4.1.1248.1.2.2.7.1.1.10.1.2</t>
  </si>
  <si>
    <t>epPrtPaperTypesType</t>
  </si>
  <si>
    <t>1.3.6.1.4.1.1248.1.2.2.7.1.1.11.1.1</t>
  </si>
  <si>
    <t>epPrtPclSettingsClass</t>
  </si>
  <si>
    <t>1.3.6.1.4.1.1248.1.2.2.8.1.1.2.1.1</t>
  </si>
  <si>
    <t>1.3.6.1.4.1.1248.1.2.2.8.1.1.3.1.1</t>
  </si>
  <si>
    <t>epPrtPclFontSource</t>
  </si>
  <si>
    <t>1.3.6.1.4.1.1248.1.2.2.8.1.1.4.1.1</t>
  </si>
  <si>
    <t>1.3.6.1.4.1.1248.1.2.2.8.1.1.5.1.1</t>
  </si>
  <si>
    <t>1.3.6.1.4.1.1248.1.2.2.8.1.1.6.1.1</t>
  </si>
  <si>
    <t>1.3.6.1.4.1.1248.1.2.2.8.1.1.7.1.1</t>
  </si>
  <si>
    <t>1.3.6.1.4.1.1248.1.2.2.8.1.1.8.1.1</t>
  </si>
  <si>
    <t>1.3.6.1.4.1.1248.1.2.2.8.1.1.9.1.1</t>
  </si>
  <si>
    <t>1.3.6.1.4.1.1248.1.2.2.8.1.1.10.1.1</t>
  </si>
  <si>
    <t>1.3.6.1.4.1.1248.1.2.2.8.1.1.11.1.1</t>
  </si>
  <si>
    <t>1.3.6.1.4.1.1248.1.2.2.8.1.1.12.1.1</t>
  </si>
  <si>
    <t>1.3.6.1.4.1.1248.1.2.2.8.1.1.13.1.1</t>
  </si>
  <si>
    <t>1.3.6.1.4.1.1248.1.2.2.8.1.1.14.1.1</t>
  </si>
  <si>
    <t>1.3.6.1.4.1.1248.1.2.2.9.1.1.2.1.1</t>
  </si>
  <si>
    <t>1.3.6.1.4.1.1248.1.2.2.9.1.1.3.1.1</t>
  </si>
  <si>
    <t>1.3.6.1.4.1.1248.1.2.2.9.1.1.4.1.1</t>
  </si>
  <si>
    <t>1.3.6.1.4.1.1248.1.2.2.9.1.1.5.1.1</t>
  </si>
  <si>
    <t>1.3.6.1.4.1.1248.1.2.2.9.1.1.6.1.1</t>
  </si>
  <si>
    <t>1.3.6.1.4.1.1248.1.2.2.9.1.1.7.1.1</t>
  </si>
  <si>
    <t>1.3.6.1.4.1.1248.1.2.2.9.1.1.8.1.1</t>
  </si>
  <si>
    <t>1.3.6.1.4.1.1248.1.2.2.9.1.1.9.1.1</t>
  </si>
  <si>
    <t>1.3.6.1.4.1.1248.1.2.2.9.1.1.10.1.1</t>
  </si>
  <si>
    <t>1.3.6.1.4.1.1248.1.2.2.9.1.1.11.1.1</t>
  </si>
  <si>
    <t>1.3.6.1.4.1.1248.1.2.2.9.1.1.12.1.1</t>
  </si>
  <si>
    <t>1.3.6.1.4.1.1248.1.2.2.9.1.1.13.1.1</t>
  </si>
  <si>
    <t>1.3.6.1.4.1.1248.1.2.2.9.1.1.14.1.1</t>
  </si>
  <si>
    <t>1.3.6.1.4.1.1248.1.2.2.9.1.1.15.1.1</t>
  </si>
  <si>
    <t>1.3.6.1.4.1.1248.1.2.2.9.1.1.16.1.1</t>
  </si>
  <si>
    <t>1.3.6.1.4.1.1248.1.2.2.10.1.1.2.1.1</t>
  </si>
  <si>
    <t>1.3.6.1.4.1.1248.1.2.2.10.1.1.3.1.1</t>
  </si>
  <si>
    <t>1.3.6.1.4.1.1248.1.2.2.10.1.1.4.1.1</t>
  </si>
  <si>
    <t>1.3.6.1.4.1.1248.1.2.2.10.1.1.5.1.1</t>
  </si>
  <si>
    <t>1.3.6.1.4.1.1248.1.2.2.10.1.1.6.1.1</t>
  </si>
  <si>
    <t>1.3.6.1.4.1.1248.1.2.2.10.1.1.7.1.1</t>
  </si>
  <si>
    <t>1.3.6.1.4.1.1248.1.2.2.10.1.1.8.1.1</t>
  </si>
  <si>
    <t>1.3.6.1.4.1.1248.1.2.2.10.1.1.9.1.1</t>
  </si>
  <si>
    <t>1.3.6.1.4.1.1248.1.2.2.10.1.1.10.1.1</t>
  </si>
  <si>
    <t>1.3.6.1.4.1.1248.1.2.2.10.1.1.11.1.1</t>
  </si>
  <si>
    <t>1.3.6.1.4.1.1248.1.2.2.10.1.1.12.1.1</t>
  </si>
  <si>
    <t>1.3.6.1.4.1.1248.1.2.2.10.1.1.13.1.1</t>
  </si>
  <si>
    <t>1.3.6.1.4.1.1248.1.2.2.10.1.1.14.1.1</t>
  </si>
  <si>
    <t>1.3.6.1.4.1.1248.1.2.2.11.1.1.2.1.1</t>
  </si>
  <si>
    <t>1.3.6.1.4.1.1248.1.2.2.11.1.1.3.1.1</t>
  </si>
  <si>
    <t>1.3.6.1.4.1.1248.1.2.2.11.1.1.4.1.1</t>
  </si>
  <si>
    <t>1.3.6.1.4.1.1248.1.2.2.11.1.1.5.1.1</t>
  </si>
  <si>
    <t>1.3.6.1.4.1.1248.1.2.2.11.1.1.6.1.1</t>
  </si>
  <si>
    <t>1.3.6.1.4.1.1248.1.2.2.11.1.1.7.1.1</t>
  </si>
  <si>
    <t>1.3.6.1.4.1.1248.1.2.2.11.1.1.8.1.1</t>
  </si>
  <si>
    <t>1.3.6.1.4.1.1248.1.2.2.11.1.1.9.1.1</t>
  </si>
  <si>
    <t>1.3.6.1.4.1.1248.1.2.2.11.1.1.10.1.1</t>
  </si>
  <si>
    <t>1.3.6.1.4.1.1248.1.2.2.11.1.1.11.1.1</t>
  </si>
  <si>
    <t>1.3.6.1.4.1.1248.1.2.2.11.1.1.12.1.1</t>
  </si>
  <si>
    <t>1.3.6.1.4.1.1248.1.2.2.11.1.1.13.1.1</t>
  </si>
  <si>
    <t>1.3.6.1.4.1.1248.1.2.2.11.1.1.14.1.1</t>
  </si>
  <si>
    <t>1.3.6.1.4.1.1248.1.2.2.12.1.1.2.1.1</t>
  </si>
  <si>
    <t>1.3.6.1.4.1.1248.1.2.2.12.1.1.3.1.1</t>
  </si>
  <si>
    <t>1.3.6.1.4.1.1248.1.2.2.12.1.1.4.1.1</t>
  </si>
  <si>
    <t>1.3.6.1.4.1.1248.1.2.2.12.1.1.5.1.1</t>
  </si>
  <si>
    <t>1.3.6.1.4.1.1248.1.2.2.12.1.1.6.1.1</t>
  </si>
  <si>
    <t>1.3.6.1.4.1.1248.1.2.2.12.1.1.7.1.1</t>
  </si>
  <si>
    <t>1.3.6.1.4.1.1248.1.2.2.12.1.1.8.1.1</t>
  </si>
  <si>
    <t>1.3.6.1.4.1.1248.1.2.2.12.1.1.9.1.1</t>
  </si>
  <si>
    <t>1.3.6.1.4.1.1248.1.2.2.12.1.1.10.1.1</t>
  </si>
  <si>
    <t>1.3.6.1.4.1.1248.1.2.2.12.1.1.11.1.1</t>
  </si>
  <si>
    <t>1.3.6.1.4.1.1248.1.2.2.12.1.1.12.1.1</t>
  </si>
  <si>
    <t>1.3.6.1.4.1.1248.1.2.2.12.1.1.13.1.1</t>
  </si>
  <si>
    <t>1.3.6.1.4.1.1248.1.2.2.12.1.1.14.1.1</t>
  </si>
  <si>
    <t>1.3.6.1.4.1.1248.1.2.2.13.1.1.2.1.1</t>
  </si>
  <si>
    <t>1.3.6.1.4.1.1248.1.2.2.13.1.1.3.1.1</t>
  </si>
  <si>
    <t>1.3.6.1.4.1.1248.1.2.2.13.1.1.4.1.1</t>
  </si>
  <si>
    <t>epPrtPsColoration</t>
  </si>
  <si>
    <t>1.3.6.1.4.1.1248.1.2.2.13.1.1.5.1.1</t>
  </si>
  <si>
    <t>epPrtPsImageProtect</t>
  </si>
  <si>
    <t>1.3.6.1.4.1.1248.1.2.2.13.1.1.6.1.1</t>
  </si>
  <si>
    <t>1.3.6.1.4.1.1248.1.2.2.13.1.1.7.1.1</t>
  </si>
  <si>
    <t>epPrtPsTextDetection</t>
  </si>
  <si>
    <t>1.3.6.1.4.1.1248.1.2.2.13.1.1.8.1.1</t>
  </si>
  <si>
    <t>1.3.6.1.4.1.1248.1.2.2.13.1.1.9.1.1</t>
  </si>
  <si>
    <t>epPrtEscpTwoByteSettingsClass</t>
  </si>
  <si>
    <t>1.3.6.1.4.1.1248.1.2.2.14.1.1.2.1.1</t>
  </si>
  <si>
    <t>epPrtEscpTwoByteInterpreterIndex</t>
  </si>
  <si>
    <t>1.3.6.1.4.1.1248.1.2.2.14.1.1.3.1.1</t>
  </si>
  <si>
    <t>1.3.6.1.4.1.1248.1.2.2.14.1.1.4.1.1</t>
  </si>
  <si>
    <t>epPrtEscpTwoByteFontHanji</t>
  </si>
  <si>
    <t>1.3.6.1.4.1.1248.1.2.2.14.1.1.5.1.1</t>
  </si>
  <si>
    <t>1.3.6.1.4.1.1248.1.2.2.14.1.1.6.1.1</t>
  </si>
  <si>
    <t>1.3.6.1.4.1.1248.1.2.2.14.1.1.7.1.1</t>
  </si>
  <si>
    <t>1.3.6.1.4.1.1248.1.2.2.14.1.1.8.1.1</t>
  </si>
  <si>
    <t>epPrtEscpTwoByteCondenced</t>
  </si>
  <si>
    <t>1.3.6.1.4.1.1248.1.2.2.14.1.1.9.1.1</t>
  </si>
  <si>
    <t>1.3.6.1.4.1.1248.1.2.2.14.1.1.10.1.1</t>
  </si>
  <si>
    <t>1.3.6.1.4.1.1248.1.2.2.14.1.1.11.1.1</t>
  </si>
  <si>
    <t>1.3.6.1.4.1.1248.1.2.2.14.1.1.12.1.1</t>
  </si>
  <si>
    <t>epPrtEscpTwoByteCgTable</t>
  </si>
  <si>
    <t>1.3.6.1.4.1.1248.1.2.2.14.1.1.13.1.1</t>
  </si>
  <si>
    <t>1.3.6.1.4.1.1248.1.2.2.14.1.1.14.1.1</t>
  </si>
  <si>
    <t>1.3.6.1.4.1.1248.1.2.2.14.1.1.15.1.1</t>
  </si>
  <si>
    <t>epPrtEscpTwoByteAutoLF</t>
  </si>
  <si>
    <t>1.3.6.1.4.1.1248.1.2.2.14.1.1.16.1.1</t>
  </si>
  <si>
    <t>1.3.6.1.4.1.1248.1.2.2.14.1.1.17.1.1</t>
  </si>
  <si>
    <t>1.3.6.1.4.1.1248.1.2.2.14.1.1.18.1.1</t>
  </si>
  <si>
    <t>1.3.6.1.4.1.1248.1.2.2.14.1.1.19.1.1</t>
  </si>
  <si>
    <t>1.3.6.1.4.1.1248.1.2.2.15.1.1.2.1.1</t>
  </si>
  <si>
    <t>1.3.6.1.4.1.1248.1.2.2.15.1.1.3.1.1</t>
  </si>
  <si>
    <t>1.3.6.1.4.1.1248.1.2.2.16.1.1.2.1.1</t>
  </si>
  <si>
    <t>1.3.6.1.4.1.1248.1.2.2.16.1.1.3.1.1</t>
  </si>
  <si>
    <t>1.3.6.1.4.1.1248.1.2.2.16.1.1.4.1.1</t>
  </si>
  <si>
    <t>1.3.6.1.4.1.1248.1.2.2.16.1.1.5.1.1</t>
  </si>
  <si>
    <t>epPrtEscPageWwCrFunction</t>
  </si>
  <si>
    <t>1.3.6.1.4.1.1248.1.2.2.16.1.1.6.1.1</t>
  </si>
  <si>
    <t>1.3.6.1.4.1.1248.1.2.2.16.1.1.7.1.1</t>
  </si>
  <si>
    <t>1.3.6.1.4.1.1248.1.2.2.16.1.1.8.1.1</t>
  </si>
  <si>
    <t>epPrtEscPageWwErrorCode</t>
  </si>
  <si>
    <t>1.3.6.1.4.1.1248.1.2.2.16.1.1.9.1.1</t>
  </si>
  <si>
    <t>epPrtEscPageWwAvoidError</t>
  </si>
  <si>
    <t>1.3.6.1.4.1.1248.1.2.2.16.1.1.10.1.1</t>
  </si>
  <si>
    <t>1.3.6.1.4.1.1248.1.2.2.16.1.1.11.1.1</t>
  </si>
  <si>
    <t>1.3.6.1.4.1.1248.1.2.2.16.1.1.12.1.1</t>
  </si>
  <si>
    <t>1.3.6.1.4.1.1248.1.2.2.16.1.1.13.1.1</t>
  </si>
  <si>
    <t>epPrtEscPageTwoByteSettingsClass</t>
  </si>
  <si>
    <t>1.3.6.1.4.1.1248.1.2.2.17.1.1.2.1.1</t>
  </si>
  <si>
    <t>1.3.6.1.4.1.1248.1.2.2.17.1.1.3.1.1</t>
  </si>
  <si>
    <t>1.3.6.1.4.1.1248.1.2.2.17.1.1.4.1.1</t>
  </si>
  <si>
    <t>1.3.6.1.4.1.1248.1.2.2.17.1.1.5.1.1</t>
  </si>
  <si>
    <t>1.3.6.1.4.1.1248.1.2.2.17.1.1.6.1.1</t>
  </si>
  <si>
    <t>1.3.6.1.4.1.1248.1.2.2.17.1.1.7.1.1</t>
  </si>
  <si>
    <t>1.3.6.1.4.1.1248.1.2.2.17.1.1.8.1.1</t>
  </si>
  <si>
    <t>1.3.6.1.4.1.1248.1.2.2.17.1.1.9.1.1</t>
  </si>
  <si>
    <t>1.3.6.1.4.1.1248.1.2.2.17.1.1.10.1.1</t>
  </si>
  <si>
    <t>1.3.6.1.4.1.1248.1.2.2.17.1.1.11.1.1</t>
  </si>
  <si>
    <t>1.3.6.1.4.1.1248.1.2.2.18.1.1.2.1.1</t>
  </si>
  <si>
    <t>1.3.6.1.4.1.1248.1.2.2.18.1.1.3.1.1</t>
  </si>
  <si>
    <t>1.3.6.1.4.1.1248.1.2.2.18.1.1.4.1.1</t>
  </si>
  <si>
    <t>1.3.6.1.4.1.1248.1.2.2.18.1.1.5.1.1</t>
  </si>
  <si>
    <t>1.3.6.1.4.1.1248.1.2.2.18.1.1.6.1.1</t>
  </si>
  <si>
    <t>1.3.6.1.4.1.1248.1.2.2.18.1.1.7.1.1</t>
  </si>
  <si>
    <t>1.3.6.1.4.1.1248.1.2.2.18.1.1.8.1.1</t>
  </si>
  <si>
    <t>1.3.6.1.4.1.1248.1.2.2.18.1.1.9.1.1</t>
  </si>
  <si>
    <t>1.3.6.1.4.1.1248.1.2.2.18.1.1.10.1.1</t>
  </si>
  <si>
    <t>1.3.6.1.4.1.1248.1.2.2.18.1.1.11.1.1</t>
  </si>
  <si>
    <t>1.3.6.1.4.1.1248.1.2.2.18.1.1.12.1.1</t>
  </si>
  <si>
    <t>1.3.6.1.4.1.1248.1.2.2.18.1.1.13.1.1</t>
  </si>
  <si>
    <t>1.3.6.1.4.1.1248.1.2.2.18.1.1.14.1.1</t>
  </si>
  <si>
    <t>1.3.6.1.4.1.1248.1.2.2.18.1.1.15.1.1</t>
  </si>
  <si>
    <t>1.3.6.1.4.1.1248.1.2.2.19.1.1.2.1.1</t>
  </si>
  <si>
    <t>1.3.6.1.4.1.1248.1.2.2.19.1.1.3.1.1</t>
  </si>
  <si>
    <t>1.3.6.1.4.1.1248.1.2.2.19.1.1.4.1.1</t>
  </si>
  <si>
    <t>epPrtEscpSuperCharacterCode</t>
  </si>
  <si>
    <t>1.3.6.1.4.1.1248.1.2.2.19.1.1.5.1.1</t>
  </si>
  <si>
    <t>1.3.6.1.4.1.1248.1.2.2.19.1.1.6.1.1</t>
  </si>
  <si>
    <t>1.3.6.1.4.1.1248.1.2.2.19.1.1.7.1.1</t>
  </si>
  <si>
    <t>1.3.6.1.4.1.1248.1.2.2.19.1.1.8.1.1</t>
  </si>
  <si>
    <t>1.3.6.1.4.1.1248.1.2.2.19.1.1.9.1.1</t>
  </si>
  <si>
    <t>1.3.6.1.4.1.1248.1.2.2.19.1.1.10.1.1</t>
  </si>
  <si>
    <t>1.3.6.1.4.1.1248.1.2.2.19.1.1.11.1.1</t>
  </si>
  <si>
    <t>1.3.6.1.4.1.1248.1.2.2.20.1.1.2.1.1</t>
  </si>
  <si>
    <t>1.3.6.1.4.1.1248.1.2.2.20.1.1.3.1.1</t>
  </si>
  <si>
    <t>1.3.6.1.4.1.1248.1.2.2.20.1.1.4.1.1</t>
  </si>
  <si>
    <t>1.3.6.1.4.1.1248.1.2.2.20.1.1.5.1.1</t>
  </si>
  <si>
    <t>1.3.6.1.4.1.1248.1.2.2.20.1.1.6.1.1</t>
  </si>
  <si>
    <t>1.3.6.1.4.1.1248.1.2.2.20.1.1.7.1.1</t>
  </si>
  <si>
    <t>1.3.6.1.4.1.1248.1.2.2.20.1.1.8.1.1</t>
  </si>
  <si>
    <t>1.3.6.1.4.1.1248.1.2.2.20.1.1.9.1.1</t>
  </si>
  <si>
    <t>1.3.6.1.4.1.1248.1.2.2.20.1.1.10.1.1</t>
  </si>
  <si>
    <t>1.3.6.1.4.1.1248.1.2.2.20.1.1.11.1.1</t>
  </si>
  <si>
    <t>1.3.6.1.4.1.1248.1.2.2.20.1.1.12.1.1</t>
  </si>
  <si>
    <t>1.3.6.1.4.1.1248.1.2.2.20.1.1.13.1.1</t>
  </si>
  <si>
    <t>1.3.6.1.4.1.1248.1.2.2.20.1.1.14.1.1</t>
  </si>
  <si>
    <t>1.3.6.1.4.1.1248.1.2.2.20.1.1.15.1.1</t>
  </si>
  <si>
    <t>1.3.6.1.4.1.1248.1.2.2.20.1.1.16.1.1</t>
  </si>
  <si>
    <t>1.3.6.1.4.1.1248.1.2.2.20.1.1.17.1.1</t>
  </si>
  <si>
    <t>1.3.6.1.4.1.1248.1.2.2.20.1.1.18.1.1</t>
  </si>
  <si>
    <t>1.3.6.1.4.1.1248.1.2.2.20.1.1.19.1.1</t>
  </si>
  <si>
    <t>1.3.6.1.4.1.1248.1.2.2.20.1.1.20.1.1</t>
  </si>
  <si>
    <t>1.3.6.1.4.1.1248.1.2.2.20.1.1.21.1.1</t>
  </si>
  <si>
    <t>1.3.6.1.4.1.1248.1.2.2.20.1.1.22.1.1</t>
  </si>
  <si>
    <t>1.3.6.1.4.1.1248.1.2.2.20.1.1.23.1.1</t>
  </si>
  <si>
    <t>1.3.6.1.4.1.1248.1.2.2.20.1.1.24.1.1</t>
  </si>
  <si>
    <t>1.3.6.1.4.1.1248.1.2.2.20.1.1.25.1.1</t>
  </si>
  <si>
    <t>1.3.6.1.4.1.1248.1.2.2.20.1.1.26.1.1</t>
  </si>
  <si>
    <t>1.3.6.1.4.1.1248.1.2.2.20.1.1.27.1.1</t>
  </si>
  <si>
    <t>1.3.6.1.4.1.1248.1.2.2.20.1.1.28.1.1</t>
  </si>
  <si>
    <t>1.3.6.1.4.1.1248.1.2.2.20.1.1.29.1.1</t>
  </si>
  <si>
    <t>1.3.6.1.4.1.1248.1.2.2.20.1.1.30.1.1</t>
  </si>
  <si>
    <t>1.3.6.1.4.1.1248.1.2.2.20.1.1.31.1.1</t>
  </si>
  <si>
    <t>1.3.6.1.4.1.1248.1.2.2.20.1.1.32.1.1</t>
  </si>
  <si>
    <t>1.3.6.1.4.1.1248.1.2.2.20.1.1.33.1.1</t>
  </si>
  <si>
    <t>1.3.6.1.4.1.1248.1.2.2.20.1.1.34.1.1</t>
  </si>
  <si>
    <t>1.3.6.1.4.1.1248.1.2.2.20.1.1.35.1.1</t>
  </si>
  <si>
    <t>1.3.6.1.4.1.1248.1.2.2.20.1.1.36.1.1</t>
  </si>
  <si>
    <t>1.3.6.1.4.1.1248.1.2.2.20.1.1.37.1.1</t>
  </si>
  <si>
    <t>1.3.6.1.4.1.1248.1.2.2.20.1.1.38.1.1</t>
  </si>
  <si>
    <t>1.3.6.1.4.1.1248.1.2.2.20.1.1.39.1.1</t>
  </si>
  <si>
    <t>epPrtOperationType</t>
  </si>
  <si>
    <t>epPrtOperationSetting</t>
  </si>
  <si>
    <t>1.3.6.1.4.1.1248.1.2.2.21.1.1.3.1.1</t>
  </si>
  <si>
    <t>epPrtConfigName</t>
  </si>
  <si>
    <t>1.3.6.1.4.1.1248.1.2.2.22.1.1.2.1.1</t>
  </si>
  <si>
    <t>1.3.6.1.4.1.1248.1.2.2.22.1.1.3.1.1</t>
  </si>
  <si>
    <t>1.3.6.1.4.1.1248.1.2.2.22.1.1.4.1.1</t>
  </si>
  <si>
    <t>epPrtRomModuleSlotState</t>
  </si>
  <si>
    <t>1.3.6.1.4.1.1248.1.2.2.22.2.1.2.1.1</t>
  </si>
  <si>
    <t>1.3.6.1.4.1.1248.1.2.2.22.2.1.3.1.1</t>
  </si>
  <si>
    <t>1.3.6.1.4.1.1248.1.2.2.22.3.1.2.1.1</t>
  </si>
  <si>
    <t>1.3.6.1.4.1.1248.1.2.2.22.3.1.3.1.1</t>
  </si>
  <si>
    <t>1.3.6.1.4.1.1248.1.2.2.22.4.1.2.1.1</t>
  </si>
  <si>
    <t>1.3.6.1.4.1.1248.1.2.2.22.4.1.3.1.1</t>
  </si>
  <si>
    <t>epPrtUsbIfState</t>
  </si>
  <si>
    <t>1.3.6.1.4.1.1248.1.2.2.22.5.1.2.1.1</t>
  </si>
  <si>
    <t>1.3.6.1.4.1.1248.1.2.2.22.5.1.3.1.1</t>
  </si>
  <si>
    <t>1.3.6.1.4.1.1248.1.2.2.22.6.1.2.1.1</t>
  </si>
  <si>
    <t>1.3.6.1.4.1.1248.1.2.2.22.6.1.3.1.1</t>
  </si>
  <si>
    <t>1.3.6.1.4.1.1248.1.2.2.22.6.1.4.1.1</t>
  </si>
  <si>
    <t>1.3.6.1.4.1.1248.1.2.2.22.6.1.5.1.1</t>
  </si>
  <si>
    <t>epPrtInputPaperSize</t>
  </si>
  <si>
    <t>1.3.6.1.4.1.1248.1.2.2.23.1.1.3.1.1</t>
  </si>
  <si>
    <t>epPrtInputPaperType</t>
  </si>
  <si>
    <t>1.3.6.1.4.1.1248.1.2.2.23.1.1.7.1.1</t>
  </si>
  <si>
    <t>epPrtInputRollerCounterUnit</t>
  </si>
  <si>
    <t>1.3.6.1.4.1.1248.1.2.2.23.1.1.8.1.1</t>
  </si>
  <si>
    <t>epPrtInputRollerCount</t>
  </si>
  <si>
    <t>1.3.6.1.4.1.1248.1.2.2.23.1.1.10.1.1</t>
  </si>
  <si>
    <t>1.3.6.1.4.1.1248.1.2.2.23.1.1.11.1.1</t>
  </si>
  <si>
    <t>epPrtInputAutoSelection</t>
  </si>
  <si>
    <t>1.3.6.1.4.1.1248.1.2.2.23.1.1.12.1.1</t>
  </si>
  <si>
    <t>epPrtInputRollerDescription</t>
  </si>
  <si>
    <t>epPrtInputSheetFeedType</t>
  </si>
  <si>
    <t>epPrtInputRollerCounterType</t>
  </si>
  <si>
    <t>1.3.6.1.4.1.1248.1.2.2.23.1.1.15.1.1</t>
  </si>
  <si>
    <t>epPrtInputID</t>
  </si>
  <si>
    <t>1.3.6.1.4.1.1248.1.2.2.23.1.1.16.1.1</t>
  </si>
  <si>
    <t>epPrtInputRollerModelNumber</t>
  </si>
  <si>
    <t>1.3.6.1.4.1.1248.1.2.2.23.1.1.17.1.1</t>
  </si>
  <si>
    <t>epPrtInputMediaSetting</t>
  </si>
  <si>
    <t>1.3.6.1.4.1.1248.1.2.2.23.1.1.18.1.1</t>
  </si>
  <si>
    <t>epPrtInputPaperSizeCounterUnit</t>
  </si>
  <si>
    <t>1.3.6.1.4.1.1248.1.2.2.23.1.1.19.1.1</t>
  </si>
  <si>
    <t>epPrtInputPaperSizePunchedEnable</t>
  </si>
  <si>
    <t>1.3.6.1.4.1.1248.1.2.2.23.1.1.20.1.1</t>
  </si>
  <si>
    <t>epPrtInputCounter2Unit</t>
  </si>
  <si>
    <t>1.3.6.1.4.1.1248.1.2.2.23.1.1.21.1.1</t>
  </si>
  <si>
    <t>epPrtInputCount2</t>
  </si>
  <si>
    <t>1.3.6.1.4.1.1248.1.2.2.23.1.1.22.1.1</t>
  </si>
  <si>
    <t>epPrtInputLevelManagementEnable</t>
  </si>
  <si>
    <t>1.3.6.1.4.1.1248.1.2.2.23.1.1.23.1.1</t>
  </si>
  <si>
    <t>epPrtInputLevelNearEndMin</t>
  </si>
  <si>
    <t>1.3.6.1.4.1.1248.1.2.2.23.1.1.24.1.1</t>
  </si>
  <si>
    <t>epPrtInputLevelNearEndMax</t>
  </si>
  <si>
    <t>1.3.6.1.4.1.1248.1.2.2.23.1.1.25.1.1</t>
  </si>
  <si>
    <t>epPrtInputLevelNearEnd</t>
  </si>
  <si>
    <t>1.3.6.1.4.1.1248.1.2.2.23.1.1.26.1.1</t>
  </si>
  <si>
    <t>epPrtInputRollerChangedDate</t>
  </si>
  <si>
    <t>1.3.6.1.4.1.1248.1.2.2.23.1.1.27.1.1</t>
  </si>
  <si>
    <t>1.3.6.1.4.1.1248.1.2.2.23.1.1.28.1.1</t>
  </si>
  <si>
    <t>epPrtInputSelectablePaperSizePaperSizeIndex</t>
  </si>
  <si>
    <t>1.3.6.1.4.1.1248.1.2.2.23.2.1.2.1.1.1</t>
  </si>
  <si>
    <t>epPrtInputSelectablePaperTypePaperTypeIndex</t>
  </si>
  <si>
    <t>1.3.6.1.4.1.1248.1.2.2.23.3.1.2.1.1.1</t>
  </si>
  <si>
    <t>1.3.6.1.4.1.1248.1.2.2.23.4.1.2.1.1</t>
  </si>
  <si>
    <t>1.3.6.1.4.1.1248.1.2.2.23.4.1.3.1.1</t>
  </si>
  <si>
    <t>1.3.6.1.4.1.1248.1.2.2.23.4.1.4.1.1</t>
  </si>
  <si>
    <t>1.3.6.1.4.1.1248.1.2.2.23.4.1.5.1.1</t>
  </si>
  <si>
    <t>epPrtInputMediaDimUnit</t>
  </si>
  <si>
    <t>1.3.6.1.4.1.1248.1.2.2.23.5.1.1.1.1</t>
  </si>
  <si>
    <t>epPrtInputMediaDimFeedDir</t>
  </si>
  <si>
    <t>1.3.6.1.4.1.1248.1.2.2.23.5.1.2.1.1</t>
  </si>
  <si>
    <t>epPrtInputMediaDimXFeedDir</t>
  </si>
  <si>
    <t>1.3.6.1.4.1.1248.1.2.2.23.5.1.3.1.1</t>
  </si>
  <si>
    <t>epPrtInputMediaDimUnitSupport</t>
  </si>
  <si>
    <t>1.3.6.1.4.1.1248.1.2.2.23.5.1.4.1.1</t>
  </si>
  <si>
    <t>epPrtInputMediaDimSupportUnit</t>
  </si>
  <si>
    <t>1.3.6.1.4.1.1248.1.2.2.23.6.1.2.1.1.1</t>
  </si>
  <si>
    <t>epPrtInputMediaMinDimFeedDir</t>
  </si>
  <si>
    <t>1.3.6.1.4.1.1248.1.2.2.23.6.1.3.1.1.1</t>
  </si>
  <si>
    <t>epPrtInputMediaMaxDimFeedDir</t>
  </si>
  <si>
    <t>1.3.6.1.4.1.1248.1.2.2.23.6.1.4.1.1.1</t>
  </si>
  <si>
    <t>epPrtInputMediaMinDimXFeedDir</t>
  </si>
  <si>
    <t>1.3.6.1.4.1.1248.1.2.2.23.6.1.5.1.1.1</t>
  </si>
  <si>
    <t>epPrtInputMediaMaxDimXFeedDir</t>
  </si>
  <si>
    <t>1.3.6.1.4.1.1248.1.2.2.23.6.1.6.1.1.1</t>
  </si>
  <si>
    <t>epPrtInputSelectableAutoOtherPaperSizePaperSizeIndex</t>
  </si>
  <si>
    <t>1.3.6.1.4.1.1248.1.2.2.23.7.1.2.1.1.1</t>
  </si>
  <si>
    <t>epPrtInputFuncAutoSelectType</t>
  </si>
  <si>
    <t>epPrtInputFuncAutoSelectSupport</t>
  </si>
  <si>
    <t>epPrtInputFuncAutoSelectSetting</t>
  </si>
  <si>
    <t>epPrtInputPaperSizeType</t>
  </si>
  <si>
    <t>1.3.6.1.4.1.1248.1.2.2.23.9.1.2.1.1</t>
  </si>
  <si>
    <t>epPrtInputPaperSizeCount</t>
  </si>
  <si>
    <t>1.3.6.1.4.1.1248.1.2.2.23.9.1.3.1.1</t>
  </si>
  <si>
    <t>epPrtInputCommonMediaDetect</t>
  </si>
  <si>
    <t>1.3.6.1.4.1.1248.1.2.2.23.10.1.1.1.1</t>
  </si>
  <si>
    <t>epPrtInputCommonMediaSource</t>
  </si>
  <si>
    <t>1.3.6.1.4.1.1248.1.2.2.23.10.1.2.1.1</t>
  </si>
  <si>
    <t>epPrtInputCommonMediaForm</t>
  </si>
  <si>
    <t>1.3.6.1.4.1.1248.1.2.2.23.10.1.3.1.1</t>
  </si>
  <si>
    <t>epPrtInputCommonLabelWidth</t>
  </si>
  <si>
    <t>1.3.6.1.4.1.1248.1.2.2.23.10.1.4.1.1</t>
  </si>
  <si>
    <t>epPrtInputCommonLabelLength</t>
  </si>
  <si>
    <t>1.3.6.1.4.1.1248.1.2.2.23.10.1.5.1.1</t>
  </si>
  <si>
    <t>epPrtInputCommonGapBETWLabels</t>
  </si>
  <si>
    <t>1.3.6.1.4.1.1248.1.2.2.23.10.1.6.1.1</t>
  </si>
  <si>
    <t>epPrtInputCommonPaperType</t>
  </si>
  <si>
    <t>1.3.6.1.4.1.1248.1.2.2.23.10.1.7.1.1</t>
  </si>
  <si>
    <t>epPrtInputCommonCapacityUnit</t>
  </si>
  <si>
    <t>1.3.6.1.4.1.1248.1.2.2.23.10.1.8.1.1</t>
  </si>
  <si>
    <t>epPrtInputCommonMaxCapacity</t>
  </si>
  <si>
    <t>1.3.6.1.4.1.1248.1.2.2.23.10.1.9.1.1</t>
  </si>
  <si>
    <t>epPrtInputCommonCurrentLevel</t>
  </si>
  <si>
    <t>1.3.6.1.4.1.1248.1.2.2.23.10.1.10.1.1</t>
  </si>
  <si>
    <t>1.3.6.1.4.1.1248.1.2.2.24.1.1.2.1.1</t>
  </si>
  <si>
    <t>1.3.6.1.4.1.1248.1.2.2.24.1.1.3.1.1</t>
  </si>
  <si>
    <t>1.3.6.1.4.1.1248.1.2.2.24.1.1.4.1.1</t>
  </si>
  <si>
    <t>epPrtOutputKind</t>
  </si>
  <si>
    <t>1.3.6.1.4.1.1248.1.2.2.24.1.1.5.1.1</t>
  </si>
  <si>
    <t>1.3.6.1.4.1.1248.1.2.2.24.2.1.2.1.1</t>
  </si>
  <si>
    <t>1.3.6.1.4.1.1248.1.2.2.24.2.1.3.1.1</t>
  </si>
  <si>
    <t>1.3.6.1.4.1.1248.1.2.2.24.3.1.2.1.1</t>
  </si>
  <si>
    <t>1.3.6.1.4.1.1248.1.2.2.24.3.1.3.1.1</t>
  </si>
  <si>
    <t>1.3.6.1.4.1.1248.1.2.2.24.3.1.4.1.1</t>
  </si>
  <si>
    <t>1.3.6.1.4.1.1248.1.2.2.24.3.1.5.1.1</t>
  </si>
  <si>
    <t>epPrtOutputFuncType</t>
  </si>
  <si>
    <t>1.3.6.1.4.1.1248.1.2.2.24.4.1.2.1.1</t>
  </si>
  <si>
    <t>1.3.6.1.4.1.1248.1.2.2.24.4.1.3.1.1</t>
  </si>
  <si>
    <t>1.3.6.1.4.1.1248.1.2.2.24.5.1.2.1.1.1</t>
  </si>
  <si>
    <t>epPrtFinisherType</t>
  </si>
  <si>
    <t>epPrtFinisherName</t>
  </si>
  <si>
    <t>1.3.6.1.4.1.1248.1.2.2.25.1.1.4.1.1</t>
  </si>
  <si>
    <t>1.3.6.1.4.1.1248.1.2.2.25.1.1.5.1.1</t>
  </si>
  <si>
    <t>1.3.6.1.4.1.1248.1.2.2.25.1.1.6.1.1</t>
  </si>
  <si>
    <t>1.3.6.1.4.1.1248.1.2.2.25.1.1.7.1.1</t>
  </si>
  <si>
    <t>1.3.6.1.4.1.1248.1.2.2.25.2.1.2.1.1</t>
  </si>
  <si>
    <t>1.3.6.1.4.1.1248.1.2.2.25.2.1.3.1.1</t>
  </si>
  <si>
    <t>epPrtFinisherDeviceFunctionSupport</t>
  </si>
  <si>
    <t>1.3.6.1.4.1.1248.1.2.2.25.3.1.2.1.1</t>
  </si>
  <si>
    <t>1.3.6.1.4.1.1248.1.2.2.25.3.1.3.1.1</t>
  </si>
  <si>
    <t>1.3.6.1.4.1.1248.1.2.2.25.3.1.4.1.1</t>
  </si>
  <si>
    <t>epPrtFinisherDeviceJobSeparationEnable</t>
  </si>
  <si>
    <t>1.3.6.1.4.1.1248.1.2.2.25.3.1.5.1.1</t>
  </si>
  <si>
    <t>1.3.6.1.4.1.1248.1.2.2.25.3.1.6.1.1</t>
  </si>
  <si>
    <t>1.3.6.1.4.1.1248.1.2.2.25.3.1.7.1.1</t>
  </si>
  <si>
    <t>epPrtFinisherDeviceStackingTrayMode</t>
  </si>
  <si>
    <t>1.3.6.1.4.1.1248.1.2.2.25.3.1.8.1.1</t>
  </si>
  <si>
    <t>epPrtFinisherDeviceShiftStackingModeEnable</t>
  </si>
  <si>
    <t>1.3.6.1.4.1.1248.1.2.2.25.3.1.9.1.1</t>
  </si>
  <si>
    <t>epPrtFinisherDeviceShiftStackingAlignmentEnable</t>
  </si>
  <si>
    <t>1.3.6.1.4.1.1248.1.2.2.25.3.1.10.1.1</t>
  </si>
  <si>
    <t>epPrtFinisherDeviceShiftStackingMainTrayControl</t>
  </si>
  <si>
    <t>1.3.6.1.4.1.1248.1.2.2.25.3.1.11.1.1</t>
  </si>
  <si>
    <t>epPrtFinisherDeviceStapleStackingModeEnable</t>
  </si>
  <si>
    <t>1.3.6.1.4.1.1248.1.2.2.25.3.1.12.1.1</t>
  </si>
  <si>
    <t>epPrtFinisherDeviceStapleStackingAlignmentEnable</t>
  </si>
  <si>
    <t>1.3.6.1.4.1.1248.1.2.2.25.3.1.13.1.1</t>
  </si>
  <si>
    <t>epPrtFinisherDeviceStapleStackingMainTrayControl</t>
  </si>
  <si>
    <t>1.3.6.1.4.1.1248.1.2.2.25.3.1.14.1.1</t>
  </si>
  <si>
    <t>1.3.6.1.4.1.1248.1.2.2.25.3.1.15.1.1</t>
  </si>
  <si>
    <t>1.3.6.1.4.1.1248.1.2.2.25.3.1.16.1.1</t>
  </si>
  <si>
    <t>1.3.6.1.4.1.1248.1.2.2.25.3.1.17.1.1</t>
  </si>
  <si>
    <t>1.3.6.1.4.1.1248.1.2.2.25.3.1.18.1.1</t>
  </si>
  <si>
    <t>1.3.6.1.4.1.1248.1.2.2.25.3.1.19.1.1</t>
  </si>
  <si>
    <t>1.3.6.1.4.1.1248.1.2.2.25.3.1.20.1.1</t>
  </si>
  <si>
    <t>1.3.6.1.4.1.1248.1.2.2.25.3.1.21.1.1</t>
  </si>
  <si>
    <t>1.3.6.1.4.1.1248.1.2.2.25.3.1.22.1.1</t>
  </si>
  <si>
    <t>1.3.6.1.4.1.1248.1.2.2.25.3.1.23.1.1</t>
  </si>
  <si>
    <t>1.3.6.1.4.1.1248.1.2.2.25.3.1.24.1.1</t>
  </si>
  <si>
    <t>1.3.6.1.4.1.1248.1.2.2.25.3.1.25.1.1</t>
  </si>
  <si>
    <t>1.3.6.1.4.1.1248.1.2.2.25.3.1.26.1.1</t>
  </si>
  <si>
    <t>1.3.6.1.4.1.1248.1.2.2.25.3.1.27.1.1</t>
  </si>
  <si>
    <t>epPrtFinisherDeviceSpeedControlDeactivatedModeEnable</t>
  </si>
  <si>
    <t>1.3.6.1.4.1.1248.1.2.2.25.3.1.28.1.1</t>
  </si>
  <si>
    <t>1.3.6.1.4.1.1248.1.2.2.25.3.1.29.1.1</t>
  </si>
  <si>
    <t>epPrtFinisherDeviceType</t>
  </si>
  <si>
    <t>1.3.6.1.4.1.1248.1.2.2.25.3.1.30.1.1</t>
  </si>
  <si>
    <t>epPrtFinisherDeviceFullStackCheckControl1Enable</t>
  </si>
  <si>
    <t>1.3.6.1.4.1.1248.1.2.2.25.3.1.31.1.1</t>
  </si>
  <si>
    <t>epPrtFinisherDeviceFullStackCheckControl2Enable</t>
  </si>
  <si>
    <t>1.3.6.1.4.1.1248.1.2.2.25.3.1.32.1.1</t>
  </si>
  <si>
    <t>epPrtFinisherDeviceSaddleStitchFoldPaperJamReductionEnable</t>
  </si>
  <si>
    <t>1.3.6.1.4.1.1248.1.2.2.25.3.1.33.1.1</t>
  </si>
  <si>
    <t>epPrtFinisherDeviceStackingSCDMEnable</t>
  </si>
  <si>
    <t>1.3.6.1.4.1.1248.1.2.2.25.3.1.34.1.1</t>
  </si>
  <si>
    <t>epPrtFinisherDeviceStapleSCDMEnable</t>
  </si>
  <si>
    <t>1.3.6.1.4.1.1248.1.2.2.25.3.1.35.1.1</t>
  </si>
  <si>
    <t>epPrtFinisherDeviceSaddleStitchFoldSCDMEnable</t>
  </si>
  <si>
    <t>1.3.6.1.4.1.1248.1.2.2.25.3.1.36.1.1</t>
  </si>
  <si>
    <t>1.3.6.1.4.1.1248.1.2.2.25.4.1.2.1.1.1</t>
  </si>
  <si>
    <t>1.3.6.1.4.1.1248.1.2.2.25.4.1.3.1.1.1</t>
  </si>
  <si>
    <t>1.3.6.1.4.1.1248.1.2.2.25.5.1.2.1.1.1</t>
  </si>
  <si>
    <t>1.3.6.1.4.1.1248.1.2.2.25.5.1.3.1.1.1</t>
  </si>
  <si>
    <t>1.3.6.1.4.1.1248.1.2.2.25.5.1.4.1.1.1</t>
  </si>
  <si>
    <t>1.3.6.1.4.1.1248.1.2.2.25.5.1.5.1.1.1</t>
  </si>
  <si>
    <t>1.3.6.1.4.1.1248.1.2.2.25.5.1.6.1.1.1</t>
  </si>
  <si>
    <t>1.3.6.1.4.1.1248.1.2.2.26.1.1.2.1.1</t>
  </si>
  <si>
    <t>epPrtMediaPathCount</t>
  </si>
  <si>
    <t>1.3.6.1.4.1.1248.1.2.2.26.1.1.3.1.1</t>
  </si>
  <si>
    <t>1.3.6.1.4.1.1248.1.2.2.27.1.1.2.1.1</t>
  </si>
  <si>
    <t>1.3.6.1.4.1.1248.1.2.2.27.1.1.3.1.1</t>
  </si>
  <si>
    <t>1.3.6.1.4.1.1248.1.2.2.27.1.1.4.1.1</t>
  </si>
  <si>
    <t>1.3.6.1.4.1.1248.1.2.2.27.1.1.5.1.1</t>
  </si>
  <si>
    <t>epPrtMarkerTotalProcessColorPrintedForMono</t>
  </si>
  <si>
    <t>1.3.6.1.4.1.1248.1.2.2.27.1.1.6.1.1</t>
  </si>
  <si>
    <t>1.3.6.1.4.1.1248.1.2.2.27.1.1.7.1.1</t>
  </si>
  <si>
    <t>1.3.6.1.4.1.1248.1.2.2.27.1.1.8.1.1</t>
  </si>
  <si>
    <t>1.3.6.1.4.1.1248.1.2.2.27.1.1.9.1.1</t>
  </si>
  <si>
    <t>1.3.6.1.4.1.1248.1.2.2.27.1.1.10.1.1</t>
  </si>
  <si>
    <t>1.3.6.1.4.1.1248.1.2.2.27.1.1.11.1.1</t>
  </si>
  <si>
    <t>1.3.6.1.4.1.1248.1.2.2.27.1.1.12.1.1</t>
  </si>
  <si>
    <t>epPrtMarkerFirstPrintedTime</t>
  </si>
  <si>
    <t>1.3.6.1.4.1.1248.1.2.2.27.1.1.13.1.1</t>
  </si>
  <si>
    <t>epPrtMarkerNozzleDefective</t>
  </si>
  <si>
    <t>1.3.6.1.4.1.1248.1.2.2.27.1.1.14.1.1</t>
  </si>
  <si>
    <t>epPrtMarkerHeadID</t>
  </si>
  <si>
    <t>1.3.6.1.4.1.1248.1.2.2.27.1.1.15.1.1</t>
  </si>
  <si>
    <t>epPrtMarkerHeadSensorEfficiency</t>
  </si>
  <si>
    <t>1.3.6.1.4.1.1248.1.2.2.27.1.1.16.1.1</t>
  </si>
  <si>
    <t>epPrtMarkerTotalWasteCounterUnit</t>
  </si>
  <si>
    <t>1.3.6.1.4.1.1248.1.2.2.27.1.1.17.1.1</t>
  </si>
  <si>
    <t>epPrtMarkerTotalWasteCount</t>
  </si>
  <si>
    <t>1.3.6.1.4.1.1248.1.2.2.27.1.1.18.1.1</t>
  </si>
  <si>
    <t>epPrtMarkerPrintJobHistoryIndexType</t>
  </si>
  <si>
    <t>1.3.6.1.4.1.1248.1.2.2.27.1.1.19.1.1</t>
  </si>
  <si>
    <t>epPrtMarkerPrintJobHistoryMaxSize</t>
  </si>
  <si>
    <t>1.3.6.1.4.1.1248.1.2.2.27.1.1.20.1.1</t>
  </si>
  <si>
    <t>epPrtMarkerPrintJobHistoryPrintedCounterUnit</t>
  </si>
  <si>
    <t>1.3.6.1.4.1.1248.1.2.2.27.1.1.21.1.1</t>
  </si>
  <si>
    <t>epPrtMarkerTotalPrintedPerPaperCounterUnit</t>
  </si>
  <si>
    <t>1.3.6.1.4.1.1248.1.2.2.27.1.1.22.1.1</t>
  </si>
  <si>
    <t>epPrtMarkerDailyPrintedHistoryIndexType</t>
  </si>
  <si>
    <t>1.3.6.1.4.1.1248.1.2.2.27.1.1.23.1.1</t>
  </si>
  <si>
    <t>epPrtMarkerDailyPrintedHistoryMaxSize</t>
  </si>
  <si>
    <t>1.3.6.1.4.1.1248.1.2.2.27.1.1.24.1.1</t>
  </si>
  <si>
    <t>epPrtMarkerDailyPrintedHistoryPrintedCounterUnit</t>
  </si>
  <si>
    <t>1.3.6.1.4.1.1248.1.2.2.27.1.1.25.1.1</t>
  </si>
  <si>
    <t>epPrtMarkerMonthlyPrintedHistoryIndexType</t>
  </si>
  <si>
    <t>1.3.6.1.4.1.1248.1.2.2.27.1.1.26.1.1</t>
  </si>
  <si>
    <t>epPrtMarkerMonthlyPrintedHistoryMaxSize</t>
  </si>
  <si>
    <t>1.3.6.1.4.1.1248.1.2.2.27.1.1.27.1.1</t>
  </si>
  <si>
    <t>epPrtMarkerMonthlyPrintedHistoryPrintedCounterUnit</t>
  </si>
  <si>
    <t>1.3.6.1.4.1.1248.1.2.2.27.1.1.28.1.1</t>
  </si>
  <si>
    <t>epPrtMarkerCoverageTermTotalPrintedCounterUnit</t>
  </si>
  <si>
    <t>1.3.6.1.4.1.1248.1.2.2.27.1.1.29.1.1</t>
  </si>
  <si>
    <t>epPrtMarkerCoverageTermTotalPrinted</t>
  </si>
  <si>
    <t>1.3.6.1.4.1.1248.1.2.2.27.1.1.30.1.1</t>
  </si>
  <si>
    <t>epPrtMarkerUserTotalPrinted</t>
  </si>
  <si>
    <t>1.3.6.1.4.1.1248.1.2.2.27.1.1.31.1.1</t>
  </si>
  <si>
    <t>1.3.6.1.4.1.1248.1.2.2.27.1.1.32.1.1</t>
  </si>
  <si>
    <t>1.3.6.1.4.1.1248.1.2.2.27.1.1.33.1.1</t>
  </si>
  <si>
    <t>1.3.6.1.4.1.1248.1.2.2.27.1.1.34.1.1</t>
  </si>
  <si>
    <t>1.3.6.1.4.1.1248.1.2.2.27.1.1.35.1.1</t>
  </si>
  <si>
    <t>epPrtMarkerConvertPSTotalPrintedUnit</t>
  </si>
  <si>
    <t>1.3.6.1.4.1.1248.1.2.2.27.1.1.36.1.1</t>
  </si>
  <si>
    <t>epPrtMarkerConvertPSTotalPrintedPaperSize</t>
  </si>
  <si>
    <t>1.3.6.1.4.1.1248.1.2.2.27.1.1.37.1.1</t>
  </si>
  <si>
    <t>epPrtMarkerUTPPerAreaMaxSize</t>
  </si>
  <si>
    <t>1.3.6.1.4.1.1248.1.2.2.27.1.1.38.1.1</t>
  </si>
  <si>
    <t>epPrtMarkerUTPPerAreaThresholdUnit</t>
  </si>
  <si>
    <t>1.3.6.1.4.1.1248.1.2.2.27.1.1.39.1.1</t>
  </si>
  <si>
    <t>epPrtMarkerTotalPrintedPerDutyStart</t>
  </si>
  <si>
    <t>epPrtMarkerTotalPrintedPerDutyCount</t>
  </si>
  <si>
    <t>EpPrtMarkerTotalPrintedPerDutyType</t>
  </si>
  <si>
    <t>1.3.6.1.4.1.1248.1.2.2.27.3.1.2.1.1.1</t>
  </si>
  <si>
    <t>epPrtMarkerTotalPrintedPerNumOfPrintsStart</t>
  </si>
  <si>
    <t>1.3.6.1.4.1.1248.1.2.2.27.3.1.5.1.1.1</t>
  </si>
  <si>
    <t>epPrtMarkerTotalPrintedPerNumOfPrintsJobs</t>
  </si>
  <si>
    <t>1.3.6.1.4.1.1248.1.2.2.27.3.1.6.1.1.1</t>
  </si>
  <si>
    <t>epPrtMarkerLifeCounterUnit</t>
  </si>
  <si>
    <t>1.3.6.1.4.1.1248.1.2.2.27.4.1.2.1.1</t>
  </si>
  <si>
    <t>epPrtMarkerLifeCounterValue</t>
  </si>
  <si>
    <t>1.3.6.1.4.1.1248.1.2.2.27.4.1.3.1.1</t>
  </si>
  <si>
    <t>epPrtMarkerLifeCounterExtUnit</t>
  </si>
  <si>
    <t>1.3.6.1.4.1.1248.1.2.2.27.5.1.3.1.1</t>
  </si>
  <si>
    <t>epPrtMarkerLifeCounterExtValue</t>
  </si>
  <si>
    <t>1.3.6.1.4.1.1248.1.2.2.27.5.1.4.1.1</t>
  </si>
  <si>
    <t>epPrtMarkerTotalPrintedPerFunctionType</t>
  </si>
  <si>
    <t>1.3.6.1.4.1.1248.1.2.2.27.6.1.2.1.1.1</t>
  </si>
  <si>
    <t>epPrtMarkerTotalPrintedPerFunctionUnit</t>
  </si>
  <si>
    <t>1.3.6.1.4.1.1248.1.2.2.27.6.1.3.1.1.1</t>
  </si>
  <si>
    <t>epPrtMarkerTotalPrintedPerFunction</t>
  </si>
  <si>
    <t>1.3.6.1.4.1.1248.1.2.2.27.6.1.4.1.1.1</t>
  </si>
  <si>
    <t>epPrtMarkerTotalColorPrintedPerFunction</t>
  </si>
  <si>
    <t>1.3.6.1.4.1.1248.1.2.2.27.6.1.5.1.1.1</t>
  </si>
  <si>
    <t>epPrtMarkerTermPrintedCounterUnit</t>
  </si>
  <si>
    <t>1.3.6.1.4.1.1248.1.2.2.27.7.1.1.1.1</t>
  </si>
  <si>
    <t>epPrtMarkerTermPrintedTermUnit</t>
  </si>
  <si>
    <t>1.3.6.1.4.1.1248.1.2.2.27.7.1.2.1.1</t>
  </si>
  <si>
    <t>epPrtMarkerTermPrintedTerm</t>
  </si>
  <si>
    <t>1.3.6.1.4.1.1248.1.2.2.27.7.1.3.1.1</t>
  </si>
  <si>
    <t>epPrtMarkerTermPrintedMonoCount</t>
  </si>
  <si>
    <t>1.3.6.1.4.1.1248.1.2.2.27.7.1.4.1.1</t>
  </si>
  <si>
    <t>epPrtMarkerTermPrintedColorCount</t>
  </si>
  <si>
    <t>1.3.6.1.4.1.1248.1.2.2.27.7.1.5.1.1</t>
  </si>
  <si>
    <t>epPrtMarkerPrintJobHistoryAcceptTime</t>
  </si>
  <si>
    <t>1.3.6.1.4.1.1248.1.2.2.27.8.1.2.1.1.1</t>
  </si>
  <si>
    <t>epPrtMarkerPrintJobHistoryPrintedCount</t>
  </si>
  <si>
    <t>1.3.6.1.4.1.1248.1.2.2.27.8.1.3.1.1.1</t>
  </si>
  <si>
    <t>epPrtMarkerTotalPrintedPerPaperType</t>
  </si>
  <si>
    <t>1.3.6.1.4.1.1248.1.2.2.27.9.1.2.1.1.1</t>
  </si>
  <si>
    <t>epPrtMarkerTotalPrintedPerPaperSize</t>
  </si>
  <si>
    <t>1.3.6.1.4.1.1248.1.2.2.27.9.1.3.1.1.1</t>
  </si>
  <si>
    <t>epPrtMarkerTotalPrintedPerPaperCount</t>
  </si>
  <si>
    <t>1.3.6.1.4.1.1248.1.2.2.27.9.1.4.1.1.1</t>
  </si>
  <si>
    <t>1.3.6.1.4.1.1248.1.2.2.27.10.1.2.1.1.1</t>
  </si>
  <si>
    <t>epPrtMarkerDailyPrintedHistoryPrintedCount</t>
  </si>
  <si>
    <t>1.3.6.1.4.1.1248.1.2.2.27.10.1.3.1.1.1</t>
  </si>
  <si>
    <t>epPrtMarkerDailyPrintedHistoryFlushingCount</t>
  </si>
  <si>
    <t>1.3.6.1.4.1.1248.1.2.2.27.10.1.4.1.1.1</t>
  </si>
  <si>
    <t>epPrtMarkerMonthlyPrintedHistoryTime</t>
  </si>
  <si>
    <t>1.3.6.1.4.1.1248.1.2.2.27.11.1.2.1.1.1</t>
  </si>
  <si>
    <t>epPrtMarkerMonthlyPrintedHistoryPrintedCount</t>
  </si>
  <si>
    <t>1.3.6.1.4.1.1248.1.2.2.27.11.1.3.1.1.1</t>
  </si>
  <si>
    <t>1.3.6.1.4.1.1248.1.2.2.27.12.1.3.1.1.1</t>
  </si>
  <si>
    <t>1.3.6.1.4.1.1248.1.2.2.27.12.1.4.1.1.1</t>
  </si>
  <si>
    <t>epPrtMarkerTotalPrintedPerInterfaceColorCount</t>
  </si>
  <si>
    <t>1.3.6.1.4.1.1248.1.2.2.27.12.1.5.1.1.1</t>
  </si>
  <si>
    <t>1.3.6.1.4.1.1248.1.2.2.27.13.1.2.1.1.1</t>
  </si>
  <si>
    <t>1.3.6.1.4.1.1248.1.2.2.27.13.1.5.1.1.1</t>
  </si>
  <si>
    <t>1.3.6.1.4.1.1248.1.2.2.27.13.1.6.1.1.1</t>
  </si>
  <si>
    <t>1.3.6.1.4.1.1248.1.2.2.27.15.1.2.1.1.1</t>
  </si>
  <si>
    <t>1.3.6.1.4.1.1248.1.2.2.27.15.1.3.1.1.1</t>
  </si>
  <si>
    <t>epPrtMarkerConvertPSTotalPrintedType</t>
  </si>
  <si>
    <t>1.3.6.1.4.1.1248.1.2.2.27.16.1.2.1.1.1</t>
  </si>
  <si>
    <t>epPrtMarkerConvertPSTotalPrintedCounter</t>
  </si>
  <si>
    <t>1.3.6.1.4.1.1248.1.2.2.27.16.1.3.1.1.1</t>
  </si>
  <si>
    <t>1.3.6.1.4.1.1248.1.2.2.27.17.1.2.1.1.1</t>
  </si>
  <si>
    <t>1.3.6.1.4.1.1248.1.2.2.27.17.1.3.1.1.1</t>
  </si>
  <si>
    <t>1.3.6.1.4.1.1248.1.2.2.27.17.1.4.1.1.1</t>
  </si>
  <si>
    <t>epPrtMarkerSuppliesLevel</t>
  </si>
  <si>
    <t>1.3.6.1.4.1.1248.1.2.2.28.1.1.2.1.1</t>
  </si>
  <si>
    <t>epPrtMarkerSuppliesChanged</t>
  </si>
  <si>
    <t>1.3.6.1.4.1.1248.1.2.2.28.1.1.3.1.1</t>
  </si>
  <si>
    <t>epPrtMarkerSuppliesUsedChanged</t>
  </si>
  <si>
    <t>1.3.6.1.4.1.1248.1.2.2.28.1.1.4.1.1</t>
  </si>
  <si>
    <t>epPrtMarkerSuppliesDescription</t>
  </si>
  <si>
    <t>epPrtMarkerSuppliesGenuine</t>
  </si>
  <si>
    <t>1.3.6.1.4.1.1248.1.2.2.28.1.1.6.1.1</t>
  </si>
  <si>
    <t>1.3.6.1.4.1.1248.1.2.2.28.1.1.7.1.1</t>
  </si>
  <si>
    <t>epPrtMarkerSuppliesID</t>
  </si>
  <si>
    <t>1.3.6.1.4.1.1248.1.2.2.28.1.1.9.1.1</t>
  </si>
  <si>
    <t>epPrtMarkerSuppliesDestination</t>
  </si>
  <si>
    <t>1.3.6.1.4.1.1248.1.2.2.28.1.1.10.1.1</t>
  </si>
  <si>
    <t>epPrtMarkerSuppliesGenuineChanged</t>
  </si>
  <si>
    <t>1.3.6.1.4.1.1248.1.2.2.28.1.1.11.1.1</t>
  </si>
  <si>
    <t>epPrtMarkerSuppliesGenuineUsedChanged</t>
  </si>
  <si>
    <t>1.3.6.1.4.1.1248.1.2.2.28.1.1.12.1.1</t>
  </si>
  <si>
    <t>1.3.6.1.4.1.1248.1.2.2.28.1.1.13.1.1</t>
  </si>
  <si>
    <t>1.3.6.1.4.1.1248.1.2.2.28.1.1.14.1.1</t>
  </si>
  <si>
    <t>1.3.6.1.4.1.1248.1.2.2.28.1.1.15.1.1</t>
  </si>
  <si>
    <t>1.3.6.1.4.1.1248.1.2.2.28.1.1.16.1.1</t>
  </si>
  <si>
    <t>epPrtMarkerSuppliesFirstInstallDate</t>
  </si>
  <si>
    <t>1.3.6.1.4.1.1248.1.2.2.28.1.1.17.1.1</t>
  </si>
  <si>
    <t>epPrtMarkerSuppliesModelNumber</t>
  </si>
  <si>
    <t>1.3.6.1.4.1.1248.1.2.2.28.1.1.18.1.1</t>
  </si>
  <si>
    <t>epPrtMarkerSuppliesRegionID</t>
  </si>
  <si>
    <t>1.3.6.1.4.1.1248.1.2.2.28.1.1.19.1.1</t>
  </si>
  <si>
    <t>epPrtMarkerSuppliesID2</t>
  </si>
  <si>
    <t>1.3.6.1.4.1.1248.1.2.2.28.1.1.20.1.1</t>
  </si>
  <si>
    <t>epPrtMarkerSuppliesType</t>
  </si>
  <si>
    <t>1.3.6.1.4.1.1248.1.2.2.28.1.1.21.1.1</t>
  </si>
  <si>
    <t>epPrtMarkerSuppliesContractedStatus</t>
  </si>
  <si>
    <t>1.3.6.1.4.1.1248.1.2.2.28.1.1.22.1.1</t>
  </si>
  <si>
    <t>1.3.6.1.4.1.1248.1.2.2.28.1.1.23.1.1</t>
  </si>
  <si>
    <t>1.3.6.1.4.1.1248.1.2.2.28.1.1.24.1.1</t>
  </si>
  <si>
    <t>1.3.6.1.4.1.1248.1.2.2.28.1.1.25.1.1</t>
  </si>
  <si>
    <t>1.3.6.1.4.1.1248.1.2.2.28.1.1.26.1.1</t>
  </si>
  <si>
    <t>1.3.6.1.4.1.1248.1.2.2.28.1.1.27.1.1</t>
  </si>
  <si>
    <t>1.3.6.1.4.1.1248.1.2.2.28.1.1.28.1.1</t>
  </si>
  <si>
    <t>1.3.6.1.4.1.1248.1.2.2.28.1.1.29.1.1</t>
  </si>
  <si>
    <t>epPrtMarkerSuppliesServicePrtMarkerSuppliesIndex</t>
  </si>
  <si>
    <t>1.3.6.1.4.1.1248.1.2.2.28.2.1.2.1.1</t>
  </si>
  <si>
    <t>1.3.6.1.4.1.1248.1.2.2.28.2.1.3.1.1</t>
  </si>
  <si>
    <t>epPrtMarkerSuppliesServiceChanged</t>
  </si>
  <si>
    <t>1.3.6.1.4.1.1248.1.2.2.28.2.1.4.1.1</t>
  </si>
  <si>
    <t>1.3.6.1.4.1.1248.1.2.2.28.2.1.5.1.1</t>
  </si>
  <si>
    <t>1.3.6.1.4.1.1248.1.2.2.28.2.1.6.1.1</t>
  </si>
  <si>
    <t>1.3.6.1.4.1.1248.1.2.2.28.2.1.7.1.1</t>
  </si>
  <si>
    <t>1.3.6.1.4.1.1248.1.2.2.28.2.1.8.1.1</t>
  </si>
  <si>
    <t>1.3.6.1.4.1.1248.1.2.2.28.2.1.9.1.1</t>
  </si>
  <si>
    <t>1.3.6.1.4.1.1248.1.2.2.28.2.1.10.1.1</t>
  </si>
  <si>
    <t>1.3.6.1.4.1.1248.1.2.2.28.2.1.11.1.1</t>
  </si>
  <si>
    <t>1.3.6.1.4.1.1248.1.2.2.28.2.1.12.1.1</t>
  </si>
  <si>
    <t>1.3.6.1.4.1.1248.1.2.2.28.2.1.13.1.1</t>
  </si>
  <si>
    <t>1.3.6.1.4.1.1248.1.2.2.28.2.1.14.1.1</t>
  </si>
  <si>
    <t>1.3.6.1.4.1.1248.1.2.2.28.2.1.15.1.1</t>
  </si>
  <si>
    <t>epPrtHaventMarkerSuppliesChanged</t>
  </si>
  <si>
    <t>1.3.6.1.4.1.1248.1.2.2.28.3.1.3.1.1</t>
  </si>
  <si>
    <t>epPrtHaventMarkerSuppliesUsedChanged</t>
  </si>
  <si>
    <t>1.3.6.1.4.1.1248.1.2.2.28.3.1.4.1.1</t>
  </si>
  <si>
    <t>epPrtHaventMarkerSuppliesServicePrtMarkerSuppliesIndex</t>
  </si>
  <si>
    <t>1.3.6.1.4.1.1248.1.2.2.28.4.1.2.1.1</t>
  </si>
  <si>
    <t>epPrtHaventMarkerSuppliesServiceDescription</t>
  </si>
  <si>
    <t>1.3.6.1.4.1.1248.1.2.2.28.4.1.3.1.1</t>
  </si>
  <si>
    <t>epPrtHaventMarkerSuppliesServiceChanged</t>
  </si>
  <si>
    <t>1.3.6.1.4.1.1248.1.2.2.28.4.1.4.1.1</t>
  </si>
  <si>
    <t>1.3.6.1.4.1.1248.1.2.2.28.4.1.5.1.1</t>
  </si>
  <si>
    <t>epPrtHaventMarkerSuppliesServiceCounterType</t>
  </si>
  <si>
    <t>1.3.6.1.4.1.1248.1.2.2.28.4.1.6.1.1</t>
  </si>
  <si>
    <t>epPrtHaventMarkerSuppliesServiceCounterUnit</t>
  </si>
  <si>
    <t>1.3.6.1.4.1.1248.1.2.2.28.4.1.7.1.1</t>
  </si>
  <si>
    <t>epPrtHaventMarkerSuppliesServiceMaxCounter</t>
  </si>
  <si>
    <t>1.3.6.1.4.1.1248.1.2.2.28.4.1.8.1.1</t>
  </si>
  <si>
    <t>epPrtHaventMarkerSuppliesServiceUsedChanged</t>
  </si>
  <si>
    <t>1.3.6.1.4.1.1248.1.2.2.28.4.1.9.1.1</t>
  </si>
  <si>
    <t>1.3.6.1.4.1.1248.1.2.2.28.4.1.10.1.1</t>
  </si>
  <si>
    <t>epPrtHaventMarkerSuppliesSameTypePrtMarkerSuppliesIndex</t>
  </si>
  <si>
    <t>1.3.6.1.4.1.1248.1.2.2.28.4.1.11.1.1</t>
  </si>
  <si>
    <t>epPrtMarkerSuppliesInkLifeCounterUnit</t>
  </si>
  <si>
    <t>1.3.6.1.4.1.1248.1.2.2.28.5.1.3.1.1</t>
  </si>
  <si>
    <t>epPrtMarkerSuppliesInkLifeCounterValue</t>
  </si>
  <si>
    <t>1.3.6.1.4.1.1248.1.2.2.28.5.1.4.1.1</t>
  </si>
  <si>
    <t>epPrtMarkerSuppliesCartridgeSupportHMAC</t>
  </si>
  <si>
    <t>1.3.6.1.4.1.1248.1.2.2.28.6.1.1.1</t>
  </si>
  <si>
    <t>epPrtMarkerSupportCartridgeSupportDeviceCode</t>
  </si>
  <si>
    <t>1.3.6.1.4.1.1248.1.2.2.28.6.1.2.1</t>
  </si>
  <si>
    <t>epPrtMarkerSuppliesCartridgeSupportVersion</t>
  </si>
  <si>
    <t>1.3.6.1.4.1.1248.1.2.2.28.6.1.3.1</t>
  </si>
  <si>
    <t>epPrtMarkerSuppliesCartridgeSupportHistoryIndexType</t>
  </si>
  <si>
    <t>1.3.6.1.4.1.1248.1.2.2.28.6.1.4.1</t>
  </si>
  <si>
    <t>epPrtMarkerSuppliesCartridgeSupportHistoryMaxSize</t>
  </si>
  <si>
    <t>1.3.6.1.4.1.1248.1.2.2.28.6.1.5.1</t>
  </si>
  <si>
    <t>1.3.6.1.4.1.1248.1.2.2.28.7.1.2.1.1</t>
  </si>
  <si>
    <t>1.3.6.1.4.1.1248.1.2.2.28.7.1.3.1.1</t>
  </si>
  <si>
    <t>epPrtMarkerSuppliesCartridgeHistorySettings</t>
  </si>
  <si>
    <t>1.3.6.1.4.1.1248.1.2.2.28.7.1.4.1.1</t>
  </si>
  <si>
    <t>1.3.6.1.4.1.1248.1.2.2.28.7.1.5.1.1</t>
  </si>
  <si>
    <t>epPrtErrorHistoryCode</t>
  </si>
  <si>
    <t>1.3.6.1.4.1.1248.1.2.2.29.1.1.2.1.1</t>
  </si>
  <si>
    <t>1.3.6.1.4.1.1248.1.2.2.29.1.1.3.1.1</t>
  </si>
  <si>
    <t>1.3.6.1.4.1.1248.1.2.2.29.1.1.4.1.1</t>
  </si>
  <si>
    <t>1.3.6.1.4.1.1248.1.2.2.29.1.1.5.1.1</t>
  </si>
  <si>
    <t>1.3.6.1.4.1.1248.1.2.2.29.1.1.6.1.1</t>
  </si>
  <si>
    <t>1.3.6.1.4.1.1248.1.2.2.29.1.1.7.1.1</t>
  </si>
  <si>
    <t>1.3.6.1.4.1.1248.1.2.2.29.1.1.8.1.1</t>
  </si>
  <si>
    <t>1.3.6.1.4.1.1248.1.2.2.29.1.1.9.1.1</t>
  </si>
  <si>
    <t>1.3.6.1.4.1.1248.1.2.2.29.1.1.10.1.1</t>
  </si>
  <si>
    <t>epPrtErrorHistoryEnvironmentalInformation</t>
  </si>
  <si>
    <t>1.3.6.1.4.1.1248.1.2.2.29.1.1.11.1.1</t>
  </si>
  <si>
    <t>epPrtErrorHistoryInputJamCounterUnit</t>
  </si>
  <si>
    <t>1.3.6.1.4.1.1248.1.2.2.29.2.1.2.1.1</t>
  </si>
  <si>
    <t>epPrtErrorHistoryInputJamCount</t>
  </si>
  <si>
    <t>1.3.6.1.4.1.1248.1.2.2.29.2.1.3.1.1</t>
  </si>
  <si>
    <t>epPrtErrorJamHistoryCommonIndexType</t>
  </si>
  <si>
    <t>1.3.6.1.4.1.1248.1.2.2.29.3.1.1.1</t>
  </si>
  <si>
    <t>epPrtErrorJamHistoryCommonMaxSize</t>
  </si>
  <si>
    <t>1.3.6.1.4.1.1248.1.2.2.29.3.1.2.1</t>
  </si>
  <si>
    <t>epPrtErrorJamHistoryCommonPrintCounterUnit</t>
  </si>
  <si>
    <t>1.3.6.1.4.1.1248.1.2.2.29.3.1.3.1</t>
  </si>
  <si>
    <t>epPrtErrorJamHistoryTime</t>
  </si>
  <si>
    <t>1.3.6.1.4.1.1248.1.2.2.29.4.1.2.1.1</t>
  </si>
  <si>
    <t>epPrtErrorJamHistoryPrintCount</t>
  </si>
  <si>
    <t>1.3.6.1.4.1.1248.1.2.2.29.4.1.3.1.1</t>
  </si>
  <si>
    <t>epPrtErrorJamHistoryPaperType</t>
  </si>
  <si>
    <t>1.3.6.1.4.1.1248.1.2.2.29.4.1.4.1.1</t>
  </si>
  <si>
    <t>epPrtErrorJamHistoryPaperSize</t>
  </si>
  <si>
    <t>1.3.6.1.4.1.1248.1.2.2.29.4.1.5.1.1</t>
  </si>
  <si>
    <t>epPrtErrorJamHistorySubCode</t>
  </si>
  <si>
    <t>1.3.6.1.4.1.1248.1.2.2.29.4.1.6.1.1</t>
  </si>
  <si>
    <t>1.3.6.1.4.1.1248.1.2.2.29.5.1.2.1.1</t>
  </si>
  <si>
    <t>epPrtErrorJamPathAPNumber</t>
  </si>
  <si>
    <t>1.3.6.1.4.1.1248.1.2.2.29.5.1.3.1.1</t>
  </si>
  <si>
    <t>epPrtErrorJamPathCount</t>
  </si>
  <si>
    <t>1.3.6.1.4.1.1248.1.2.2.29.5.1.4.1.1</t>
  </si>
  <si>
    <t>epPrtMarkerColorSuppliesIndex</t>
  </si>
  <si>
    <t>1.3.6.1.4.1.1248.1.2.2.30.1.1.6.1.1</t>
  </si>
  <si>
    <t>1.3.6.1.4.1.1248.1.2.2.30.1.1.7.1.1</t>
  </si>
  <si>
    <t>1.3.6.1.4.1.1248.1.2.2.30.1.1.8.1.1</t>
  </si>
  <si>
    <t>1.3.6.1.4.1.1248.1.2.2.30.1.1.9.1.1</t>
  </si>
  <si>
    <t>1.3.6.1.4.1.1248.1.2.2.30.1.1.10.1.1</t>
  </si>
  <si>
    <t>1.3.6.1.4.1.1248.1.2.2.30.1.1.11.1.1</t>
  </si>
  <si>
    <t>1.3.6.1.4.1.1248.1.2.2.30.1.1.12.1.1</t>
  </si>
  <si>
    <t>1.3.6.1.4.1.1248.1.2.2.30.1.1.13.1.1</t>
  </si>
  <si>
    <t>epPrtMarkerColorLastJobEstimatedImpressionsRemaining</t>
  </si>
  <si>
    <t>1.3.6.1.4.1.1248.1.2.2.30.1.1.14.1.1</t>
  </si>
  <si>
    <t>1.3.6.1.4.1.1248.1.2.2.30.1.1.15.1.1</t>
  </si>
  <si>
    <t>1.3.6.1.4.1.1248.1.2.2.30.1.1.16.1.1</t>
  </si>
  <si>
    <t>epPrtMarkerColorLifeDots</t>
  </si>
  <si>
    <t>1.3.6.1.4.1.1248.1.2.2.30.1.1.17.1.1</t>
  </si>
  <si>
    <t>epPrtMarkerColorType</t>
  </si>
  <si>
    <t>1.3.6.1.4.1.1248.1.2.2.30.1.1.18.1.1</t>
  </si>
  <si>
    <t>epPrtMarkerColorServiceColorType</t>
  </si>
  <si>
    <t>1.3.6.1.4.1.1248.1.2.2.30.1.1.19.1.1</t>
  </si>
  <si>
    <t>epPrtMarkerColorMultiSuppliesIndex</t>
  </si>
  <si>
    <t>1.3.6.1.4.1.1248.1.2.2.30.1.1.20.1.1</t>
  </si>
  <si>
    <t>epPrtMarkerColorSuppliesLevelResetCount</t>
  </si>
  <si>
    <t>1.3.6.1.4.1.1248.1.2.2.30.1.1.21.1.1</t>
  </si>
  <si>
    <t>1.3.6.1.4.1.1248.1.2.2.30.2.1.2.1.1</t>
  </si>
  <si>
    <t>1.3.6.1.4.1.1248.1.2.2.30.2.1.3.1.1</t>
  </si>
  <si>
    <t>1.3.6.1.4.1.1248.1.2.2.30.2.1.4.1.1</t>
  </si>
  <si>
    <t>1.3.6.1.4.1.1248.1.2.2.30.2.1.5.1.1</t>
  </si>
  <si>
    <t>1.3.6.1.4.1.1248.1.2.2.30.2.1.6.1.1</t>
  </si>
  <si>
    <t>1.3.6.1.4.1.1248.1.2.2.30.2.1.7.1.1</t>
  </si>
  <si>
    <t>1.3.6.1.4.1.1248.1.2.2.30.4.1.1.1.1</t>
  </si>
  <si>
    <t>1.3.6.1.4.1.1248.1.2.2.30.4.1.2.1.1</t>
  </si>
  <si>
    <t>1.3.6.1.4.1.1248.1.2.2.30.4.1.3.1.1</t>
  </si>
  <si>
    <t>1.3.6.1.4.1.1248.1.2.2.30.4.1.4.1.1</t>
  </si>
  <si>
    <t>epPrtMarkerColorCoverageTypeCoverageType</t>
  </si>
  <si>
    <t>1.3.6.1.4.1.1248.1.2.2.30.5.1.2.1.1.1</t>
  </si>
  <si>
    <t>epPrtMarkerColorCoverageTypeLastJobDuty</t>
  </si>
  <si>
    <t>1.3.6.1.4.1.1248.1.2.2.30.5.1.3.1.1.1</t>
  </si>
  <si>
    <t>epPrtMarkerColorCoverageTypeLifeDuty</t>
  </si>
  <si>
    <t>1.3.6.1.4.1.1248.1.2.2.30.5.1.4.1.1.1</t>
  </si>
  <si>
    <t>epPrtMarkerColorCoverageTypeTermDuty</t>
  </si>
  <si>
    <t>1.3.6.1.4.1.1248.1.2.2.30.5.1.5.1.1.1</t>
  </si>
  <si>
    <t>epPrtMarkerColorInterfaceType</t>
  </si>
  <si>
    <t>1.3.6.1.4.1.1248.1.2.2.30.6.1.3.1.1.1</t>
  </si>
  <si>
    <t>epPrtMarkerColorInterfaceUsageLifeCounter</t>
  </si>
  <si>
    <t>1.3.6.1.4.1.1248.1.2.2.30.6.1.4.1.1.1</t>
  </si>
  <si>
    <t>1.3.6.1.4.1.1248.1.2.2.31.1.1.2.1.1</t>
  </si>
  <si>
    <t>1.3.6.1.4.1.1248.1.2.2.31.1.1.3.1.1</t>
  </si>
  <si>
    <t>1.3.6.1.4.1.1248.1.2.2.31.1.1.4.1.1</t>
  </si>
  <si>
    <t>epPrtMarkerPartsName</t>
  </si>
  <si>
    <t>1.3.6.1.4.1.1248.1.2.2.32.1.1.2.1.1</t>
  </si>
  <si>
    <t>epPrtMarkerPartsCounterUnit</t>
  </si>
  <si>
    <t>1.3.6.1.4.1.1248.1.2.2.32.1.1.4.1.1</t>
  </si>
  <si>
    <t>1.3.6.1.4.1.1248.1.2.2.32.1.1.5.1.1</t>
  </si>
  <si>
    <t>1.3.6.1.4.1.1248.1.2.2.32.1.1.6.1.1</t>
  </si>
  <si>
    <t>1.3.6.1.4.1.1248.1.2.2.32.1.1.7.1.1</t>
  </si>
  <si>
    <t>1.3.6.1.4.1.1248.1.2.2.32.1.1.8.1.1</t>
  </si>
  <si>
    <t>epPrtMarkerPartsExtEpPrtMarkerPartsIndex</t>
  </si>
  <si>
    <t>1.3.6.1.4.1.1248.1.2.2.32.2.1.2.1.1</t>
  </si>
  <si>
    <t>1.3.6.1.4.1.1248.1.2.2.32.2.1.3.1.1</t>
  </si>
  <si>
    <t>1.3.6.1.4.1.1248.1.2.2.32.2.1.4.1.1</t>
  </si>
  <si>
    <t>1.3.6.1.4.1.1248.1.2.2.32.2.1.5.1.1</t>
  </si>
  <si>
    <t>1.3.6.1.4.1.1248.1.2.2.32.2.1.6.1.1</t>
  </si>
  <si>
    <t>1.3.6.1.4.1.1248.1.2.2.32.2.1.7.1.1</t>
  </si>
  <si>
    <t>1.3.6.1.4.1.1248.1.2.2.33.1.1.2.1.1</t>
  </si>
  <si>
    <t>1.3.6.1.4.1.1248.1.2.2.33.1.1.3.1.1</t>
  </si>
  <si>
    <t>epPrtFinisherPartsName</t>
  </si>
  <si>
    <t>1.3.6.1.4.1.1248.1.2.2.34.1.1.2.1.1</t>
  </si>
  <si>
    <t>1.3.6.1.4.1.1248.1.2.2.34.1.1.3.1.1</t>
  </si>
  <si>
    <t>1.3.6.1.4.1.1248.1.2.2.34.1.1.4.1.1</t>
  </si>
  <si>
    <t>1.3.6.1.4.1.1248.1.2.2.34.1.1.5.1.1</t>
  </si>
  <si>
    <t>epPrtFinisherPartsType</t>
  </si>
  <si>
    <t>1.3.6.1.4.1.1248.1.2.2.34.1.1.6.1.1</t>
  </si>
  <si>
    <t>epPrtFinisherPartsCounterType</t>
  </si>
  <si>
    <t>1.3.6.1.4.1.1248.1.2.2.34.1.1.7.1.1</t>
  </si>
  <si>
    <t>1.3.6.1.4.1.1248.1.2.2.35.1.1.2.1.1</t>
  </si>
  <si>
    <t>epPrtMarkerSuppliesPartsType</t>
  </si>
  <si>
    <t>epPrtMarkerSuppliesPartsClass</t>
  </si>
  <si>
    <t>1.3.6.1.4.1.1248.1.2.2.35.1.1.4.1.1</t>
  </si>
  <si>
    <t>1.3.6.1.4.1.1248.1.2.2.35.1.1.5.1.1</t>
  </si>
  <si>
    <t>epPrtMarkerSuppliesPartsMaxCapacity</t>
  </si>
  <si>
    <t>1.3.6.1.4.1.1248.1.2.2.35.1.1.6.1.1</t>
  </si>
  <si>
    <t>1.3.6.1.4.1.1248.1.2.2.35.1.1.7.1.1</t>
  </si>
  <si>
    <t>1.3.6.1.4.1.1248.1.2.2.35.1.1.8.1.1</t>
  </si>
  <si>
    <t>1.3.6.1.4.1.1248.1.2.2.35.1.1.9.1.1</t>
  </si>
  <si>
    <t>epPrtGeneralMaintenanceJamCounterUnit</t>
  </si>
  <si>
    <t>1.3.6.1.4.1.1248.1.2.2.36.1.1.1.1</t>
  </si>
  <si>
    <t>1.3.6.1.4.1.1248.1.2.2.36.1.1.2.1</t>
  </si>
  <si>
    <t>1.3.6.1.4.1.1248.1.2.2.36.1.1.3.1</t>
  </si>
  <si>
    <t>1.3.6.1.4.1.1248.1.2.2.36.1.1.4.1</t>
  </si>
  <si>
    <t>1.3.6.1.4.1.1248.1.2.2.36.1.1.5.1</t>
  </si>
  <si>
    <t>1.3.6.1.4.1.1248.1.2.2.36.1.1.6.1</t>
  </si>
  <si>
    <t>1.3.6.1.4.1.1248.1.2.2.36.1.1.7.1</t>
  </si>
  <si>
    <t>1.3.6.1.4.1.1248.1.2.2.36.1.1.8.1</t>
  </si>
  <si>
    <t>1.3.6.1.4.1.1248.1.2.2.36.1.1.9.1</t>
  </si>
  <si>
    <t>epPrtGeneralMaintenanceFirstPrintTimeString</t>
  </si>
  <si>
    <t>1.3.6.1.4.1.1248.1.2.2.36.1.1.10.1</t>
  </si>
  <si>
    <t>epPrtGeneralMaintenanceGamutValue</t>
  </si>
  <si>
    <t>1.3.6.1.4.1.1248.1.2.2.36.1.1.11.1</t>
  </si>
  <si>
    <t>epPrtGeneralMaintenanceUsbIdSelect</t>
  </si>
  <si>
    <t>1.3.6.1.4.1.1248.1.2.2.36.1.1.12.1</t>
  </si>
  <si>
    <t>1.3.6.1.4.1.1248.1.2.2.36.2.1.1.1</t>
  </si>
  <si>
    <t>1.3.6.1.4.1.1248.1.2.2.36.2.1.2.1</t>
  </si>
  <si>
    <t>1.3.6.1.4.1.1248.1.2.2.36.2.1.3.1</t>
  </si>
  <si>
    <t>1.3.6.1.4.1.1248.1.2.2.36.2.1.4.1</t>
  </si>
  <si>
    <t>1.3.6.1.4.1.1248.1.2.2.36.2.1.5.1</t>
  </si>
  <si>
    <t>1.3.6.1.4.1.1248.1.2.2.36.2.1.6.1</t>
  </si>
  <si>
    <t>1.3.6.1.4.1.1248.1.2.2.36.2.1.7.1</t>
  </si>
  <si>
    <t>epPrtMaintenancePaperSizeName</t>
  </si>
  <si>
    <t>1.3.6.1.4.1.1248.1.2.2.36.3.1.2.1.1</t>
  </si>
  <si>
    <t>1.3.6.1.4.1.1248.1.2.2.36.3.1.3.1.1</t>
  </si>
  <si>
    <t>1.3.6.1.4.1.1248.1.2.2.36.3.1.4.1.1</t>
  </si>
  <si>
    <t>1.3.6.1.4.1.1248.1.2.2.36.3.1.5.1.1</t>
  </si>
  <si>
    <t>1.3.6.1.4.1.1248.1.2.2.37.1.1.2.1.1</t>
  </si>
  <si>
    <t>1.3.6.1.4.1.1248.1.2.2.37.1.1.3.1.1</t>
  </si>
  <si>
    <t>1.3.6.1.4.1.1248.1.2.2.37.1.1.4.1.1</t>
  </si>
  <si>
    <t>1.3.6.1.4.1.1248.1.2.2.37.1.1.5.1.1</t>
  </si>
  <si>
    <t>1.3.6.1.4.1.1248.1.2.2.37.1.1.6.1.1</t>
  </si>
  <si>
    <t>1.3.6.1.4.1.1248.1.2.2.37.1.1.7.1.1</t>
  </si>
  <si>
    <t>1.3.6.1.4.1.1248.1.2.2.38.2.1.1.1.1</t>
  </si>
  <si>
    <t>1.3.6.1.4.1.1248.1.2.2.38.2.1.2.1.1</t>
  </si>
  <si>
    <t>1.3.6.1.4.1.1248.1.2.2.38.2.1.3.1.1</t>
  </si>
  <si>
    <t>1.3.6.1.4.1.1248.1.2.2.38.2.1.4.1.1</t>
  </si>
  <si>
    <t>1.3.6.1.4.1.1248.1.2.2.38.2.1.5.1.1</t>
  </si>
  <si>
    <t>1.3.6.1.4.1.1248.1.2.2.38.2.1.6.1.1</t>
  </si>
  <si>
    <t>1.3.6.1.4.1.1248.1.2.2.38.2.1.7.1.1</t>
  </si>
  <si>
    <t>1.3.6.1.4.1.1248.1.2.2.38.2.1.8.1.1</t>
  </si>
  <si>
    <t>1.3.6.1.4.1.1248.1.2.2.38.2.1.9.1.1</t>
  </si>
  <si>
    <t>1.3.6.1.4.1.1248.1.2.2.38.2.1.10.1.1</t>
  </si>
  <si>
    <t>1.3.6.1.4.1.1248.1.2.2.38.2.1.11.1.1</t>
  </si>
  <si>
    <t>1.3.6.1.4.1.1248.1.2.2.38.2.1.12.1.1</t>
  </si>
  <si>
    <t>1.3.6.1.4.1.1248.1.2.2.38.2.1.13.1.1</t>
  </si>
  <si>
    <t>1.3.6.1.4.1.1248.1.2.2.38.2.1.14.1.1</t>
  </si>
  <si>
    <t>1.3.6.1.4.1.1248.1.2.2.38.2.1.15.1.1</t>
  </si>
  <si>
    <t>1.3.6.1.4.1.1248.1.2.2.38.2.1.16.1.1</t>
  </si>
  <si>
    <t>1.3.6.1.4.1.1248.1.2.2.38.2.1.17.1.1</t>
  </si>
  <si>
    <t>1.3.6.1.4.1.1248.1.2.2.38.2.1.18.1.1</t>
  </si>
  <si>
    <t>1.3.6.1.4.1.1248.1.2.2.38.2.1.19.1.1</t>
  </si>
  <si>
    <t>1.3.6.1.4.1.1248.1.2.2.38.2.1.20.1.1</t>
  </si>
  <si>
    <t>1.3.6.1.4.1.1248.1.2.2.38.2.1.21.1.1</t>
  </si>
  <si>
    <t>1.3.6.1.4.1.1248.1.2.2.38.2.1.22.1.1</t>
  </si>
  <si>
    <t>1.3.6.1.4.1.1248.1.2.2.38.2.1.23.1.1</t>
  </si>
  <si>
    <t>1.3.6.1.4.1.1248.1.2.2.38.2.1.24.1.1</t>
  </si>
  <si>
    <t>1.3.6.1.4.1.1248.1.2.2.38.2.1.25.1.1</t>
  </si>
  <si>
    <t>1.3.6.1.4.1.1248.1.2.2.38.2.1.26.1.1</t>
  </si>
  <si>
    <t>1.3.6.1.4.1.1248.1.2.2.38.2.1.27.1.1</t>
  </si>
  <si>
    <t>1.3.6.1.4.1.1248.1.2.2.38.2.1.28.1.1</t>
  </si>
  <si>
    <t>1.3.6.1.4.1.1248.1.2.2.38.2.1.29.1.1</t>
  </si>
  <si>
    <t>1.3.6.1.4.1.1248.1.2.2.38.2.1.30.1.1</t>
  </si>
  <si>
    <t>1.3.6.1.4.1.1248.1.2.2.38.2.1.31.1.1</t>
  </si>
  <si>
    <t>1.3.6.1.4.1.1248.1.2.2.38.3.1.2.1.1.1</t>
  </si>
  <si>
    <t>1.3.6.1.4.1.1248.1.2.2.38.3.1.3.1.1.1</t>
  </si>
  <si>
    <t>1.3.6.1.4.1.1248.1.2.2.38.3.1.4.1.1.1</t>
  </si>
  <si>
    <t>1.3.6.1.4.1.1248.1.2.2.38.4.1.2.1.1.1</t>
  </si>
  <si>
    <t>1.3.6.1.4.1.1248.1.2.2.38.4.1.3.1.1.1</t>
  </si>
  <si>
    <t>1.3.6.1.4.1.1248.1.2.2.38.4.1.4.1.1.1</t>
  </si>
  <si>
    <t>1.3.6.1.4.1.1248.1.2.2.38.4.1.5.1.1.1</t>
  </si>
  <si>
    <t>1.3.6.1.4.1.1248.1.2.2.38.5.1.2.1.1.1</t>
  </si>
  <si>
    <t>1.3.6.1.4.1.1248.1.2.2.38.5.1.3.1.1.1</t>
  </si>
  <si>
    <t>1.3.6.1.4.1.1248.1.2.2.38.5.1.4.1.1.1</t>
  </si>
  <si>
    <t>1.3.6.1.4.1.1248.1.2.2.38.5.1.5.1.1.1</t>
  </si>
  <si>
    <t>1.3.6.1.4.1.1248.1.2.2.38.5.1.6.1.1.1</t>
  </si>
  <si>
    <t>1.3.6.1.4.1.1248.1.2.2.38.6.1.1.1.1</t>
  </si>
  <si>
    <t>epPrtJobApplicationDerivedInformationPrinterName</t>
  </si>
  <si>
    <t>1.3.6.1.4.1.1248.1.2.2.38.6.1.2.1.1</t>
  </si>
  <si>
    <t>1.3.6.1.4.1.1248.1.2.2.38.6.1.3.1.1</t>
  </si>
  <si>
    <t>1.3.6.1.4.1.1248.1.2.2.38.6.1.4.1.1</t>
  </si>
  <si>
    <t>1.3.6.1.4.1.1248.1.2.2.38.6.1.5.1.1</t>
  </si>
  <si>
    <t>1.3.6.1.4.1.1248.1.2.2.38.6.1.6.1.1</t>
  </si>
  <si>
    <t>1.3.6.1.4.1.1248.1.2.2.38.6.1.7.1.1</t>
  </si>
  <si>
    <t>1.3.6.1.4.1.1248.1.2.2.38.6.1.8.1.1</t>
  </si>
  <si>
    <t>1.3.6.1.4.1.1248.1.2.2.38.6.1.9.1.1</t>
  </si>
  <si>
    <t>1.3.6.1.4.1.1248.1.2.2.38.6.1.10.1.1</t>
  </si>
  <si>
    <t>1.3.6.1.4.1.1248.1.2.2.38.6.1.12.1.1</t>
  </si>
  <si>
    <t>1.3.6.1.4.1.1248.1.2.2.38.6.1.13.1.1</t>
  </si>
  <si>
    <t>1.3.6.1.4.1.1248.1.2.2.38.6.1.14.1.1</t>
  </si>
  <si>
    <t>1.3.6.1.4.1.1248.1.2.2.38.6.1.15.1.1</t>
  </si>
  <si>
    <t>1.3.6.1.4.1.1248.1.2.2.38.6.1.16.1.1</t>
  </si>
  <si>
    <t>1.3.6.1.4.1.1248.1.2.2.38.6.1.17.1.1</t>
  </si>
  <si>
    <t>1.3.6.1.4.1.1248.1.2.2.38.6.1.18.1.1</t>
  </si>
  <si>
    <t>1.3.6.1.4.1.1248.1.2.2.38.6.1.19.1.1</t>
  </si>
  <si>
    <t>1.3.6.1.4.1.1248.1.2.2.38.6.1.20.1.1</t>
  </si>
  <si>
    <t>1.3.6.1.4.1.1248.1.2.2.38.6.1.21.1.1</t>
  </si>
  <si>
    <t>1.3.6.1.4.1.1248.1.2.2.38.6.1.22.1.1</t>
  </si>
  <si>
    <t>1.3.6.1.4.1.1248.1.2.2.38.6.1.23.1.1</t>
  </si>
  <si>
    <t>1.3.6.1.4.1.1248.1.2.2.38.7.1.1.1</t>
  </si>
  <si>
    <t>1.3.6.1.4.1.1248.1.2.2.38.7.1.2.1</t>
  </si>
  <si>
    <t>1.3.6.1.4.1.1248.1.2.2.39.1.1.2.1.1</t>
  </si>
  <si>
    <t>1.3.6.1.4.1.1248.1.2.2.39.1.1.3.1.1</t>
  </si>
  <si>
    <t>1.3.6.1.4.1.1248.1.2.2.39.1.1.4.1.1</t>
  </si>
  <si>
    <t>1.3.6.1.4.1.1248.1.2.2.39.1.1.5.1.1</t>
  </si>
  <si>
    <t>1.3.6.1.4.1.1248.1.2.2.39.1.1.6.1.1</t>
  </si>
  <si>
    <t>epPrtIpdsCodePage</t>
  </si>
  <si>
    <t>1.3.6.1.4.1.1248.1.2.2.39.1.1.7.1.1</t>
  </si>
  <si>
    <t>1.3.6.1.4.1.1248.1.2.2.39.1.1.8.1.1</t>
  </si>
  <si>
    <t>1.3.6.1.4.1.1248.1.2.2.39.1.1.9.1.1</t>
  </si>
  <si>
    <t>1.3.6.1.4.1.1248.1.2.2.39.1.1.10.1.1</t>
  </si>
  <si>
    <t>epPrtIpdsTextCompression</t>
  </si>
  <si>
    <t>1.3.6.1.4.1.1248.1.2.2.39.1.1.11.1.1</t>
  </si>
  <si>
    <t>1.3.6.1.4.1.1248.1.2.2.39.1.1.12.1.1</t>
  </si>
  <si>
    <t>epPrtIpdsHorizontalMargin</t>
  </si>
  <si>
    <t>1.3.6.1.4.1.1248.1.2.2.39.1.1.13.1.1</t>
  </si>
  <si>
    <t>1.3.6.1.4.1.1248.1.2.2.39.1.1.14.1.1</t>
  </si>
  <si>
    <t>1.3.6.1.4.1.1248.1.2.2.39.1.1.15.1.1</t>
  </si>
  <si>
    <t>1.3.6.1.4.1.1248.1.2.2.39.1.1.16.1.1</t>
  </si>
  <si>
    <t>1.3.6.1.4.1.1248.1.2.2.39.2.1.2.1.1.1</t>
  </si>
  <si>
    <t>1.3.6.1.4.1.1248.1.2.2.40.1.1.2.1</t>
  </si>
  <si>
    <t>1.3.6.1.4.1.1248.1.2.2.41.1.1.2.1.1</t>
  </si>
  <si>
    <t>1.3.6.1.4.1.1248.1.2.2.41.1.1.3.1.1</t>
  </si>
  <si>
    <t>1.3.6.1.4.1.1248.1.2.2.41.1.1.4.1.1</t>
  </si>
  <si>
    <t>1.3.6.1.4.1.1248.1.2.2.41.1.1.5.1.1</t>
  </si>
  <si>
    <t>1.3.6.1.4.1.1248.1.2.2.41.1.1.6.1.1</t>
  </si>
  <si>
    <t>1.3.6.1.4.1.1248.1.2.2.41.1.1.7.1.1</t>
  </si>
  <si>
    <t>1.3.6.1.4.1.1248.1.2.2.41.1.1.8.1.1</t>
  </si>
  <si>
    <t>1.3.6.1.4.1.1248.1.2.2.41.1.1.9.1.1</t>
  </si>
  <si>
    <t>1.3.6.1.4.1.1248.1.2.2.41.1.1.10.1.1</t>
  </si>
  <si>
    <t>1.3.6.1.4.1.1248.1.2.2.41.1.1.11.1.1</t>
  </si>
  <si>
    <t>1.3.6.1.4.1.1248.1.2.2.41.1.1.12.1.1</t>
  </si>
  <si>
    <t>1.3.6.1.4.1.1248.1.2.2.41.1.1.13.1.1</t>
  </si>
  <si>
    <t>1.3.6.1.4.1.1248.1.2.2.41.1.1.14.1.1</t>
  </si>
  <si>
    <t>1.3.6.1.4.1.1248.1.2.2.41.1.1.15.1.1</t>
  </si>
  <si>
    <t>1.3.6.1.4.1.1248.1.2.2.41.1.1.16.1.1</t>
  </si>
  <si>
    <t>epPrtFormOverlayPreviewState</t>
  </si>
  <si>
    <t>1.3.6.1.4.1.1248.1.2.2.41.1.1.17.1.1</t>
  </si>
  <si>
    <t>1.3.6.1.4.1.1248.1.2.2.41.1.1.18.1.1</t>
  </si>
  <si>
    <t>1.3.6.1.4.1.1248.1.2.2.41.1.1.19.1.1</t>
  </si>
  <si>
    <t>1.3.6.1.4.1.1248.1.2.2.41.1.1.20.1.1</t>
  </si>
  <si>
    <t>1.3.6.1.4.1.1248.1.2.2.41.2.1.2.1.1</t>
  </si>
  <si>
    <t>1.3.6.1.4.1.1248.1.2.2.41.2.1.3.1.1</t>
  </si>
  <si>
    <t>1.3.6.1.4.1.1248.1.2.2.41.2.1.4.1.1</t>
  </si>
  <si>
    <t>epPrtV1Alert</t>
  </si>
  <si>
    <t>1.3.6.1.4.1.1248.1.2.2.42.1.1</t>
  </si>
  <si>
    <t>1.3.6.1.4.1.1248.1.2.2.43.1.1.2.1.1</t>
  </si>
  <si>
    <t>1.3.6.1.4.1.1248.1.2.2.43.1.1.3.1.1</t>
  </si>
  <si>
    <t>1.3.6.1.4.1.1248.1.2.2.43.1.1.4.1.1</t>
  </si>
  <si>
    <t>1.3.6.1.4.1.1248.1.2.2.44.1.1.2.1</t>
  </si>
  <si>
    <t>1.3.6.1.4.1.1248.1.2.2.45.1.1.2.1.1</t>
  </si>
  <si>
    <t>1.3.6.1.4.1.1248.1.2.2.45.1.1.3.1.1</t>
  </si>
  <si>
    <t>1.3.6.1.4.1.1248.1.2.2.45.1.1.4.1.1</t>
  </si>
  <si>
    <t>1.3.6.1.4.1.1248.1.2.2.45.1.1.5.1.1</t>
  </si>
  <si>
    <t>1.3.6.1.4.1.1248.1.2.2.45.1.1.6.1.1</t>
  </si>
  <si>
    <t>1.3.6.1.4.1.1248.1.2.2.45.1.1.7.1.1</t>
  </si>
  <si>
    <t>1.3.6.1.4.1.1248.1.2.2.46.1.1.2.1.1</t>
  </si>
  <si>
    <t>1.3.6.1.4.1.1248.1.2.2.46.1.1.3.1.1</t>
  </si>
  <si>
    <t>1.3.6.1.4.1.1248.1.2.2.46.1.1.4.1.1</t>
  </si>
  <si>
    <t>1.3.6.1.4.1.1248.1.2.2.46.1.1.5.1.1</t>
  </si>
  <si>
    <t>epPrtHistoryType</t>
  </si>
  <si>
    <t>1.3.6.1.4.1.1248.1.2.2.47.1.1.2.1.1</t>
  </si>
  <si>
    <t>1.3.6.1.4.1.1248.1.2.2.47.1.1.3.1.1</t>
  </si>
  <si>
    <t>1.3.6.1.4.1.1248.1.2.2.47.1.1.4.1.1</t>
  </si>
  <si>
    <t>1.3.6.1.4.1.1248.1.2.2.47.1.1.5.1.1</t>
  </si>
  <si>
    <t>1.3.6.1.4.1.1248.1.2.2.47.1.1.6.1.1</t>
  </si>
  <si>
    <t>1.3.6.1.4.1.1248.1.2.2.47.1.1.7.1.1</t>
  </si>
  <si>
    <t>1.3.6.1.4.1.1248.1.2.2.47.1.1.8.1.1</t>
  </si>
  <si>
    <t>1.3.6.1.4.1.1248.1.2.2.47.1.1.9.1.1</t>
  </si>
  <si>
    <t>1.3.6.1.4.1.1248.1.2.2.47.1.1.10.1.1</t>
  </si>
  <si>
    <t>1.3.6.1.4.1.1248.1.2.2.48.1.1.2.1.1</t>
  </si>
  <si>
    <t>1.3.6.1.4.1.1248.1.2.2.49.1.1.2.1.1</t>
  </si>
  <si>
    <t>1.3.6.1.4.1.1248.1.2.2.49.1.1.3.1.1</t>
  </si>
  <si>
    <t>1.3.6.1.4.1.1248.1.2.2.49.1.1.4.1.1</t>
  </si>
  <si>
    <t>epPrtInterpreterType</t>
  </si>
  <si>
    <t>epPrtInterpreterExtInterpreterIndex</t>
  </si>
  <si>
    <t>epPrtInterpreterExtDescription</t>
  </si>
  <si>
    <t>epPrtInterpreterExtPrintedUnit</t>
  </si>
  <si>
    <t>1.3.6.1.4.1.1248.1.2.2.49.2.1.4.1.1</t>
  </si>
  <si>
    <t>1.3.6.1.4.1.1248.1.2.2.49.2.1.5.1.1</t>
  </si>
  <si>
    <t>epPrtInterpreterExtType</t>
  </si>
  <si>
    <t>1.3.6.1.4.1.1248.1.2.2.49.2.1.6.1.1</t>
  </si>
  <si>
    <t>1.3.6.1.4.1.1248.1.2.2.50.1.1.2.1.1</t>
  </si>
  <si>
    <t>epPrtConsumableSupplyDescription</t>
  </si>
  <si>
    <t>1.3.6.1.4.1.1248.1.2.2.50.1.1.3.1.1</t>
  </si>
  <si>
    <t>epPrtConsumableSupplyUsageLifeCounterUnit</t>
  </si>
  <si>
    <t>1.3.6.1.4.1.1248.1.2.2.50.1.1.4.1.1</t>
  </si>
  <si>
    <t>epPrtConsumableSupplyUsageLifeCounter</t>
  </si>
  <si>
    <t>1.3.6.1.4.1.1248.1.2.2.50.1.1.5.1.1</t>
  </si>
  <si>
    <t>epPrtConsumableSupplyLifeCountChanged</t>
  </si>
  <si>
    <t>1.3.6.1.4.1.1248.1.2.2.50.1.1.6.1.1</t>
  </si>
  <si>
    <t>epPrtConsumableSupplyMarkerColorIndex</t>
  </si>
  <si>
    <t>1.3.6.1.4.1.1248.1.2.2.50.1.1.7.1.1</t>
  </si>
  <si>
    <t>1.3.6.1.4.1.1248.1.2.2.50.1.1.8.1.1</t>
  </si>
  <si>
    <t>epPrtConsumableSupplyLifeCountUsageChanged</t>
  </si>
  <si>
    <t>1.3.6.1.4.1.1248.1.2.2.50.1.1.9.1.1</t>
  </si>
  <si>
    <t>epPrtConsumableSupplyServiceColorType</t>
  </si>
  <si>
    <t>1.3.6.1.4.1.1248.1.2.2.50.1.1.10.1.1</t>
  </si>
  <si>
    <t>epPrtConsumableSupplyUsageType</t>
  </si>
  <si>
    <t>epPrtConsumableSupplyUsageCounterUnit</t>
  </si>
  <si>
    <t>epPrtConsumableSupplyUsageCounter</t>
  </si>
  <si>
    <t>epPrtConsumableSupplyUsageColorMarkerColorIndex</t>
  </si>
  <si>
    <t>1.3.6.1.4.1.1248.1.2.2.50.3.1.2.1.1.1</t>
  </si>
  <si>
    <t>epPrtConsumableSupplyUsageColorLifeCounter</t>
  </si>
  <si>
    <t>1.3.6.1.4.1.1248.1.2.2.50.3.1.3.1.1.1</t>
  </si>
  <si>
    <t>epPrtConsumableSupplyColorSizeConsumableType</t>
  </si>
  <si>
    <t>1.3.6.1.4.1.1248.1.2.2.50.4.1.2.1.1</t>
  </si>
  <si>
    <t>epPrtConsumableSupplyColorSizeMarkerColorIndex</t>
  </si>
  <si>
    <t>1.3.6.1.4.1.1248.1.2.2.50.4.1.3.1.1</t>
  </si>
  <si>
    <t>epPrtConsumableSupplyColorSizeSizeType</t>
  </si>
  <si>
    <t>1.3.6.1.4.1.1248.1.2.2.50.4.1.4.1.1</t>
  </si>
  <si>
    <t>epPrtConsumableSupplyColorSizeLifeCountChanged</t>
  </si>
  <si>
    <t>1.3.6.1.4.1.1248.1.2.2.50.4.1.5.1.1</t>
  </si>
  <si>
    <t>1.3.6.1.4.1.1248.1.2.2.50.4.1.6.1.1</t>
  </si>
  <si>
    <t>epPrtCleaningHistoryCommonIndexType</t>
  </si>
  <si>
    <t>1.3.6.1.4.1.1248.1.2.2.51.1.1.1.1</t>
  </si>
  <si>
    <t>epPrtCleaningHistoryCommonMaxSize</t>
  </si>
  <si>
    <t>1.3.6.1.4.1.1248.1.2.2.51.1.1.2.1</t>
  </si>
  <si>
    <t>epPrtCleaningHistoryCommonPrintedCounterUnit</t>
  </si>
  <si>
    <t>1.3.6.1.4.1.1248.1.2.2.51.1.1.3.1</t>
  </si>
  <si>
    <t>epPrtCleaningHistoryType</t>
  </si>
  <si>
    <t>1.3.6.1.4.1.1248.1.2.2.51.2.1.2.1.1</t>
  </si>
  <si>
    <t>epPrtCleaningHistoryTime</t>
  </si>
  <si>
    <t>1.3.6.1.4.1.1248.1.2.2.51.2.1.3.1.1</t>
  </si>
  <si>
    <t>epPrtCleaningHistoryPrintedCounter</t>
  </si>
  <si>
    <t>1.3.6.1.4.1.1248.1.2.2.51.2.1.4.1.1</t>
  </si>
  <si>
    <t>epPrtCleaningTimerEnable</t>
  </si>
  <si>
    <t>1.3.6.1.4.1.1248.1.2.2.51.3.1.1.1</t>
  </si>
  <si>
    <t>epPrtCleaningAutoNozzleCheck</t>
  </si>
  <si>
    <t>1.3.6.1.4.1.1248.1.2.2.51.3.1.2.1</t>
  </si>
  <si>
    <t>epPrtCleaningAutoNozzleCheckCleanReapeatCountMax</t>
  </si>
  <si>
    <t>1.3.6.1.4.1.1248.1.2.2.51.3.1.3.1</t>
  </si>
  <si>
    <t>epPrtCleaningAutoNozzleCheckCleanReapeatCount</t>
  </si>
  <si>
    <t>1.3.6.1.4.1.1248.1.2.2.51.3.1.4.1</t>
  </si>
  <si>
    <t>epPrtCleaningAutoNozzleCheckCleanRepeatOption</t>
  </si>
  <si>
    <t>1.3.6.1.4.1.1248.1.2.2.51.3.1.5.1</t>
  </si>
  <si>
    <t>epPrtCleaningAutoPrePrintEnable</t>
  </si>
  <si>
    <t>1.3.6.1.4.1.1248.1.2.2.51.3.1.6.1</t>
  </si>
  <si>
    <t>epPrtCleaningAutoPostPrintEnable</t>
  </si>
  <si>
    <t>1.3.6.1.4.1.1248.1.2.2.51.3.1.7.1</t>
  </si>
  <si>
    <t>epPrtCleaningDailyHistoryIndexType</t>
  </si>
  <si>
    <t>1.3.6.1.4.1.1248.1.2.2.51.3.1.8.1</t>
  </si>
  <si>
    <t>epPrtCleaningDailyHistoryMaxSize</t>
  </si>
  <si>
    <t>1.3.6.1.4.1.1248.1.2.2.51.3.1.9.1</t>
  </si>
  <si>
    <t>epPrtCleaningDailyHistoryPrintedCounterUnit</t>
  </si>
  <si>
    <t>1.3.6.1.4.1.1248.1.2.2.51.3.1.10.1</t>
  </si>
  <si>
    <t>epPrtCleaningPowderMinInterval</t>
  </si>
  <si>
    <t>1.3.6.1.4.1.1248.1.2.2.51.3.1.11.1</t>
  </si>
  <si>
    <t>1.3.6.1.4.1.1248.1.2.2.51.3.1.12.1</t>
  </si>
  <si>
    <t>1.3.6.1.4.1.1248.1.2.2.51.3.1.13.1</t>
  </si>
  <si>
    <t>1.3.6.1.4.1.1248.1.2.2.51.3.1.14.1</t>
  </si>
  <si>
    <t>1.3.6.1.4.1.1248.1.2.2.51.3.1.15.1</t>
  </si>
  <si>
    <t>1.3.6.1.4.1.1248.1.2.2.51.3.1.16.1</t>
  </si>
  <si>
    <t>1.3.6.1.4.1.1248.1.2.2.51.3.1.17.1</t>
  </si>
  <si>
    <t>1.3.6.1.4.1.1248.1.2.2.51.3.1.18.1</t>
  </si>
  <si>
    <t>1.3.6.1.4.1.1248.1.2.2.51.3.1.19.1</t>
  </si>
  <si>
    <t>1.3.6.1.4.1.1248.1.2.2.51.3.1.20.1</t>
  </si>
  <si>
    <t>1.3.6.1.4.1.1248.1.2.2.51.3.1.21.1</t>
  </si>
  <si>
    <t>1.3.6.1.4.1.1248.1.2.2.51.3.1.22.1</t>
  </si>
  <si>
    <t>1.3.6.1.4.1.1248.1.2.2.51.3.1.23.1</t>
  </si>
  <si>
    <t>1.3.6.1.4.1.1248.1.2.2.51.3.1.24.1</t>
  </si>
  <si>
    <t>1.3.6.1.4.1.1248.1.2.2.51.3.1.25.1</t>
  </si>
  <si>
    <t>1.3.6.1.4.1.1248.1.2.2.51.3.1.26.1</t>
  </si>
  <si>
    <t>1.3.6.1.4.1.1248.1.2.2.51.3.1.27.1</t>
  </si>
  <si>
    <t>1.3.6.1.4.1.1248.1.2.2.51.3.1.28.1</t>
  </si>
  <si>
    <t>1.3.6.1.4.1.1248.1.2.2.51.3.1.29.1</t>
  </si>
  <si>
    <t>1.3.6.1.4.1.1248.1.2.2.51.4.1.2.1.1</t>
  </si>
  <si>
    <t>1.3.6.1.4.1.1248.1.2.2.51.4.1.3.1.1</t>
  </si>
  <si>
    <t>epPrtCleaningTypeCount</t>
  </si>
  <si>
    <t>1.3.6.1.4.1.1248.1.2.2.51.4.1.4.1.1</t>
  </si>
  <si>
    <t>epPrtCleaningTypeECRPId</t>
  </si>
  <si>
    <t>1.3.6.1.4.1.1248.1.2.2.51.4.1.5.1.1</t>
  </si>
  <si>
    <t>epPrtCleaningDailyHistoryTime</t>
  </si>
  <si>
    <t>1.3.6.1.4.1.1248.1.2.2.51.5.1.2.1.1</t>
  </si>
  <si>
    <t>epPrtCleaningDailyHistoryPrintedCount</t>
  </si>
  <si>
    <t>1.3.6.1.4.1.1248.1.2.2.51.5.1.3.1.1</t>
  </si>
  <si>
    <t>epPrtCleaningDailyHistoryNozzleDefective</t>
  </si>
  <si>
    <t>1.3.6.1.4.1.1248.1.2.2.51.5.1.4.1.1</t>
  </si>
  <si>
    <t>epPrtCleaningDailyHistoryTotalMaintenanceBoxLevel</t>
  </si>
  <si>
    <t>1.3.6.1.4.1.1248.1.2.2.51.5.1.5.1.1</t>
  </si>
  <si>
    <t>epPrtCleaningDailyHistoryManualCl1Count</t>
  </si>
  <si>
    <t>1.3.6.1.4.1.1248.1.2.2.51.5.1.6.1.1</t>
  </si>
  <si>
    <t>epPrtCleaningDailyHistoryManualCl2Count</t>
  </si>
  <si>
    <t>1.3.6.1.4.1.1248.1.2.2.51.5.1.7.1.1</t>
  </si>
  <si>
    <t>epPrtCleaningDailyHistoryManualCl3Count</t>
  </si>
  <si>
    <t>1.3.6.1.4.1.1248.1.2.2.51.5.1.8.1.1</t>
  </si>
  <si>
    <t>epPrtCleaningDailyHistoryStrictClCount</t>
  </si>
  <si>
    <t>1.3.6.1.4.1.1248.1.2.2.51.5.1.9.1.1</t>
  </si>
  <si>
    <t>epPrtCleaningDailyHistoryReplaceClCount</t>
  </si>
  <si>
    <t>1.3.6.1.4.1.1248.1.2.2.51.5.1.10.1.1</t>
  </si>
  <si>
    <t>epPrtFolderPrintEnable</t>
  </si>
  <si>
    <t>1.3.6.1.4.1.1248.1.2.2.52.1.1.1.1</t>
  </si>
  <si>
    <t>epPrtFolderPrintMaxAddress</t>
  </si>
  <si>
    <t>1.3.6.1.4.1.1248.1.2.2.52.1.1.2.1</t>
  </si>
  <si>
    <t>epPrtFolderPrintMaxAddressSize</t>
  </si>
  <si>
    <t>1.3.6.1.4.1.1248.1.2.2.52.1.1.3.1</t>
  </si>
  <si>
    <t>epPrtFolderPrintMaxAuthenticationNameSize</t>
  </si>
  <si>
    <t>1.3.6.1.4.1.1248.1.2.2.52.1.1.4.1</t>
  </si>
  <si>
    <t>epPrtFolderPrintMaxAuthenticationPasswordSize</t>
  </si>
  <si>
    <t>1.3.6.1.4.1.1248.1.2.2.52.1.1.5.1</t>
  </si>
  <si>
    <t>epPrtFolderPrintAddress</t>
  </si>
  <si>
    <t>1.3.6.1.4.1.1248.1.2.2.52.2.1.2.1.1</t>
  </si>
  <si>
    <t>epPrtFolderPrintAddress2</t>
  </si>
  <si>
    <t>1.3.6.1.4.1.1248.1.2.2.52.2.1.3.1.1</t>
  </si>
  <si>
    <t>epPrtFolderPrintAddress3</t>
  </si>
  <si>
    <t>1.3.6.1.4.1.1248.1.2.2.52.2.1.4.1.1</t>
  </si>
  <si>
    <t>epPrtFolderPrintAddressAuthenticationName</t>
  </si>
  <si>
    <t>1.3.6.1.4.1.1248.1.2.2.52.2.1.5.1.1</t>
  </si>
  <si>
    <t>epPrtFolderPrintAddressAuthenticationPassword</t>
  </si>
  <si>
    <t>1.3.6.1.4.1.1248.1.2.2.52.2.1.6.1.1</t>
  </si>
  <si>
    <t>epPrtUploadPrintEnable</t>
  </si>
  <si>
    <t>1.3.6.1.4.1.1248.1.2.2.52.3.1.1.1</t>
  </si>
  <si>
    <t>1.3.6.1.4.1.1248.1.2.2.53.1.1.2.1.1</t>
  </si>
  <si>
    <t>1.3.6.1.4.1.1248.1.2.2.53.1.1.3.1.1</t>
  </si>
  <si>
    <t>1.3.6.1.4.1.1248.1.2.2.53.1.1.4.1.1</t>
  </si>
  <si>
    <t>1.3.6.1.4.1.1248.1.2.2.53.1.1.5.1.1</t>
  </si>
  <si>
    <t>1.3.6.1.4.1.1248.1.2.2.53.1.1.6.1.1</t>
  </si>
  <si>
    <t>1.3.6.1.4.1.1248.1.2.2.53.1.1.7.1.1</t>
  </si>
  <si>
    <t>1.3.6.1.4.1.1248.1.2.2.53.2.1.2.1.1</t>
  </si>
  <si>
    <t>1.3.6.1.4.1.1248.1.2.2.53.2.1.3.1.1</t>
  </si>
  <si>
    <t>1.3.6.1.4.1.1248.1.2.2.56.1.1.1.1.1</t>
  </si>
  <si>
    <t>1.3.6.1.4.1.1248.1.2.2.56.1.1.2.1.1</t>
  </si>
  <si>
    <t>1.3.6.1.4.1.1248.1.2.2.56.1.1.3.1.1</t>
  </si>
  <si>
    <t>1.3.6.1.4.1.1248.1.2.2.56.1.1.4.1.1</t>
  </si>
  <si>
    <t>1.3.6.1.4.1.1248.1.2.2.56.1.1.5.1.1</t>
  </si>
  <si>
    <t>1.3.6.1.4.1.1248.1.2.2.56.1.1.6.1.1</t>
  </si>
  <si>
    <t>1.3.6.1.4.1.1248.1.2.2.56.1.1.7.1.1</t>
  </si>
  <si>
    <t>1.3.6.1.4.1.1248.1.2.2.56.1.1.8.1.1</t>
  </si>
  <si>
    <t>1.3.6.1.4.1.1248.1.2.2.56.1.1.9.1.1</t>
  </si>
  <si>
    <t>1.3.6.1.4.1.1248.1.2.2.56.1.1.10.1.1</t>
  </si>
  <si>
    <t>1.3.6.1.4.1.1248.1.2.2.56.1.1.11.1.1</t>
  </si>
  <si>
    <t>1.3.6.1.4.1.1248.1.2.2.56.1.1.12.1.1</t>
  </si>
  <si>
    <t>1.3.6.1.4.1.1248.1.2.2.56.2.1.2.1.1.1</t>
  </si>
  <si>
    <t>1.3.6.1.4.1.1248.1.2.2.56.2.1.3.1.1.1</t>
  </si>
  <si>
    <t>1.3.6.1.4.1.1248.1.2.2.56.2.1.4.1.1.1</t>
  </si>
  <si>
    <t>1.3.6.1.4.1.1248.1.2.2.56.2.1.5.1.1.1</t>
  </si>
  <si>
    <t>1.3.6.1.4.1.1248.1.2.2.56.2.1.6.1.1.1</t>
  </si>
  <si>
    <t>1.3.6.1.4.1.1248.1.2.2.56.2.1.7.1.1.1</t>
  </si>
  <si>
    <t>1.3.6.1.4.1.1248.1.2.2.56.2.1.8.1.1.1</t>
  </si>
  <si>
    <t>1.3.6.1.4.1.1248.1.2.2.56.2.1.9.1.1.1</t>
  </si>
  <si>
    <t>1.3.6.1.4.1.1248.1.2.2.56.2.1.10.1.1.1</t>
  </si>
  <si>
    <t>1.3.6.1.4.1.1248.1.2.2.56.2.1.11.1.1.1</t>
  </si>
  <si>
    <t>1.3.6.1.4.1.1248.1.2.2.56.3.1.3.1.1.1</t>
  </si>
  <si>
    <t>1.3.6.1.4.1.1248.1.2.2.56.3.1.4.1.1.1</t>
  </si>
  <si>
    <t>1.3.6.1.4.1.1248.1.2.2.56.4.1.2.1.1.1</t>
  </si>
  <si>
    <t>1.3.6.1.4.1.1248.1.2.2.56.4.1.3.1.1.1</t>
  </si>
  <si>
    <t>1.3.6.1.4.1.1248.1.2.2.56.4.1.4.1.1.1</t>
  </si>
  <si>
    <t>1.3.6.1.4.1.1248.1.2.2.56.4.1.5.1.1.1</t>
  </si>
  <si>
    <t>1.3.6.1.4.1.1248.1.2.2.56.4.1.6.1.1.1</t>
  </si>
  <si>
    <t>1.3.6.1.4.1.1248.1.2.2.56.4.1.7.1.1.1</t>
  </si>
  <si>
    <t>1.3.6.1.4.1.1248.1.2.2.56.4.1.8.1.1.1</t>
  </si>
  <si>
    <t>1.3.6.1.4.1.1248.1.2.2.56.4.1.9.1.1.1</t>
  </si>
  <si>
    <t>1.3.6.1.4.1.1248.1.2.2.56.7.1.2.1.1.1.1</t>
  </si>
  <si>
    <t>1.3.6.1.4.1.1248.1.2.2.56.8.1.1.1.1.1.1</t>
  </si>
  <si>
    <t>1.3.6.1.4.1.1248.1.2.2.56.8.1.2.1.1.1.1</t>
  </si>
  <si>
    <t>1.3.6.1.4.1.1248.1.2.2.56.9.1.1.1.1.1.1</t>
  </si>
  <si>
    <t>1.3.6.1.4.1.1248.1.2.2.56.9.1.2.1.1.1.1</t>
  </si>
  <si>
    <t>1.3.6.1.4.1.1248.1.2.2.56.10.1.1.1.1.1.1</t>
  </si>
  <si>
    <t>1.3.6.1.4.1.1248.1.2.2.56.11.1.1.1.1.1.1</t>
  </si>
  <si>
    <t>1.3.6.1.4.1.1248.1.2.2.56.12.1.1.1.1.1.1</t>
  </si>
  <si>
    <t>1.3.6.1.4.1.1248.1.2.2.56.12.1.2.1.1.1.1</t>
  </si>
  <si>
    <t>1.3.6.1.4.1.1248.1.2.2.56.12.1.3.1.1.1.1</t>
  </si>
  <si>
    <t>1.3.6.1.4.1.1248.1.2.2.56.12.1.4.1.1.1.1</t>
  </si>
  <si>
    <t>1.3.6.1.4.1.1248.1.2.2.57.1.1.2.1.1</t>
  </si>
  <si>
    <t>1.3.6.1.4.1.1248.1.2.2.57.1.1.3.1.1</t>
  </si>
  <si>
    <t>1.3.6.1.4.1.1248.1.2.2.57.1.1.4.1.1</t>
  </si>
  <si>
    <t>1.3.6.1.4.1.1248.1.2.2.57.1.1.5.1.1</t>
  </si>
  <si>
    <t>1.3.6.1.4.1.1248.1.2.2.57.1.1.6.1.1</t>
  </si>
  <si>
    <t>1.3.6.1.4.1.1248.1.2.2.57.1.1.7.1.1</t>
  </si>
  <si>
    <t>1.3.6.1.4.1.1248.1.2.2.58.1.1.2.1.1</t>
  </si>
  <si>
    <t>1.3.6.1.4.1.1248.1.2.2.58.1.1.3.1.1</t>
  </si>
  <si>
    <t>1.3.6.1.4.1.1248.1.2.2.58.1.1.4.1.1</t>
  </si>
  <si>
    <t>1.3.6.1.4.1.1248.1.2.2.58.1.1.5.1.1</t>
  </si>
  <si>
    <t>1.3.6.1.4.1.1248.1.2.2.58.1.1.6.1.1</t>
  </si>
  <si>
    <t>1.3.6.1.4.1.1248.1.2.2.58.1.1.7.1.1</t>
  </si>
  <si>
    <t>epPrtDUSPRTNoneMediaDetectGapBETWLabelsMin</t>
  </si>
  <si>
    <t>1.3.6.1.4.1.1248.1.2.2.58.1.1.8.1.1</t>
  </si>
  <si>
    <t>1.3.6.1.4.1.1248.1.2.2.58.1.1.9.1.1</t>
  </si>
  <si>
    <t>1.3.6.1.4.1.1248.1.2.2.58.1.1.10.1.1</t>
  </si>
  <si>
    <t>1.3.6.1.4.1.1248.1.2.2.58.1.1.11.1.1</t>
  </si>
  <si>
    <t>epPrtDUSPRTPrintPosAdjustmentDP</t>
  </si>
  <si>
    <t>1.3.6.1.4.1.1248.1.2.2.58.1.1.12.1.1</t>
  </si>
  <si>
    <t>1.3.6.1.4.1.1248.1.2.2.58.1.1.13.1.1</t>
  </si>
  <si>
    <t>epPrtDUSPRTPrintTopPosAdjustmentMax</t>
  </si>
  <si>
    <t>1.3.6.1.4.1.1248.1.2.2.58.1.1.14.1.1</t>
  </si>
  <si>
    <t>epPrtDUSPRTPrintLeftPosAdjustmentMin</t>
  </si>
  <si>
    <t>1.3.6.1.4.1.1248.1.2.2.58.1.1.15.1.1</t>
  </si>
  <si>
    <t>1.3.6.1.4.1.1248.1.2.2.58.1.1.16.1.1</t>
  </si>
  <si>
    <t>1.3.6.1.4.1.1248.1.2.2.58.1.1.17.1.1</t>
  </si>
  <si>
    <t>epPrtDUSPRTMediaTopPosAdjustmentMax</t>
  </si>
  <si>
    <t>1.3.6.1.4.1.1248.1.2.2.58.1.1.18.1.1</t>
  </si>
  <si>
    <t>epPrtDUSPRTLeftMarginAdjustmentMin</t>
  </si>
  <si>
    <t>1.3.6.1.4.1.1248.1.2.2.58.1.1.19.1.1</t>
  </si>
  <si>
    <t>epPrtDUSPRTLeftMarginAdjustmentMax</t>
  </si>
  <si>
    <t>1.3.6.1.4.1.1248.1.2.2.58.1.1.20.1.1</t>
  </si>
  <si>
    <t>1.3.6.1.4.1.1248.1.2.2.58.1.1.21.1.1</t>
  </si>
  <si>
    <t>epPrtDUSPRTCutPosAdjustmentMin</t>
  </si>
  <si>
    <t>1.3.6.1.4.1.1248.1.2.2.58.1.1.22.1.1</t>
  </si>
  <si>
    <t>1.3.6.1.4.1.1248.1.2.2.58.1.1.23.1.1</t>
  </si>
  <si>
    <t>1.3.6.1.4.1.1248.1.2.2.58.1.1.24.1.1</t>
  </si>
  <si>
    <t>1.3.6.1.4.1.1248.1.2.2.58.1.1.25.1.1</t>
  </si>
  <si>
    <t>1.3.6.1.4.1.1248.1.2.2.58.1.1.26.1.1</t>
  </si>
  <si>
    <t>1.3.6.1.4.1.1248.1.2.2.58.1.1.27.1.1</t>
  </si>
  <si>
    <t>1.3.6.1.4.1.1248.1.2.2.58.1.1.28.1.1</t>
  </si>
  <si>
    <t>1.3.6.1.4.1.1248.1.2.2.59.1.1.2.1.1</t>
  </si>
  <si>
    <t>1.3.6.1.4.1.1248.1.2.2.59.1.1.3.1.1</t>
  </si>
  <si>
    <t>1.3.6.1.4.1.1248.1.2.2.59.1.1.4.1.1</t>
  </si>
  <si>
    <t>1.3.6.1.4.1.1248.1.2.2.59.1.1.5.1.1</t>
  </si>
  <si>
    <t>1.3.6.1.4.1.1248.1.2.2.59.1.1.6.1.1</t>
  </si>
  <si>
    <t>epScnGeneralScannerName</t>
  </si>
  <si>
    <t>1.3.6.1.4.1.1248.1.4.2.1.1.1.2.3</t>
  </si>
  <si>
    <t>1.3.6.1.4.1.1248.1.4.2.4.1.1.2.3</t>
  </si>
  <si>
    <t>1.3.6.1.4.1.1248.1.4.2.4.1.1.3.3</t>
  </si>
  <si>
    <t>1.3.6.1.4.1.1248.1.4.2.5.1.1.2.3</t>
  </si>
  <si>
    <t>1.3.6.1.4.1.1248.1.4.2.5.1.1.3.3</t>
  </si>
  <si>
    <t>epScnInputType</t>
  </si>
  <si>
    <t>1.3.6.1.4.1.1248.1.4.2.6.1.1.2.3.1</t>
  </si>
  <si>
    <t>1.3.6.1.4.1.1248.1.4.2.6.1.1.4.3.1</t>
  </si>
  <si>
    <t>1.3.6.1.4.1.1248.1.4.2.6.1.1.5.3.1</t>
  </si>
  <si>
    <t>1.3.6.1.4.1.1248.1.4.2.6.1.1.6.3.1</t>
  </si>
  <si>
    <t>epScnInputTotalColorScanned</t>
  </si>
  <si>
    <t>1.3.6.1.4.1.1248.1.4.2.6.1.1.7.3.1</t>
  </si>
  <si>
    <t>epScnInputTotalFeedSeetCount</t>
  </si>
  <si>
    <t>1.3.6.1.4.1.1248.1.4.2.6.1.1.8.3.1</t>
  </si>
  <si>
    <t>epScnInputTotalScannedUnit</t>
  </si>
  <si>
    <t>1.3.6.1.4.1.1248.1.4.2.6.1.1.9.3.1</t>
  </si>
  <si>
    <t>epScnInputTotalSimplexScanned</t>
  </si>
  <si>
    <t>1.3.6.1.4.1.1248.1.4.2.6.1.1.10.3.1</t>
  </si>
  <si>
    <t>epScnInputTotalDoubleFeedCount</t>
  </si>
  <si>
    <t>1.3.6.1.4.1.1248.1.4.2.6.1.1.11.3.1</t>
  </si>
  <si>
    <t>epScnInputRollerCounterUnit</t>
  </si>
  <si>
    <t>1.3.6.1.4.1.1248.1.4.2.6.1.1.12.3.2</t>
  </si>
  <si>
    <t>epScnInputRollerCount</t>
  </si>
  <si>
    <t>1.3.6.1.4.1.1248.1.4.2.6.1.1.13.3.2</t>
  </si>
  <si>
    <t>epScnInputRollerChanged</t>
  </si>
  <si>
    <t>1.3.6.1.4.1.1248.1.4.2.6.1.1.14.3.2</t>
  </si>
  <si>
    <t>epScnInputRollerCounterType</t>
  </si>
  <si>
    <t>1.3.6.1.4.1.1248.1.4.2.6.1.1.15.3.2</t>
  </si>
  <si>
    <t>epScnInputPaperSizeTotalScannedUnit</t>
  </si>
  <si>
    <t>1.3.6.1.4.1.1248.1.4.2.6.1.1.16.3.1</t>
  </si>
  <si>
    <t>epScnInputPaperProtectionMode</t>
  </si>
  <si>
    <t>1.3.6.1.4.1.1248.1.4.2.6.1.1.17.3.1</t>
  </si>
  <si>
    <t>epScnInputPaperProtectionTotalCount</t>
  </si>
  <si>
    <t>1.3.6.1.4.1.1248.1.4.2.6.1.1.18.3.1</t>
  </si>
  <si>
    <t>epScnInputDetectGlassDirtMode</t>
  </si>
  <si>
    <t>1.3.6.1.4.1.1248.1.4.2.6.1.1.19.3.1</t>
  </si>
  <si>
    <t>epScnInputRegularMaintenanceThreshold</t>
  </si>
  <si>
    <t>1.3.6.1.4.1.1248.1.4.2.6.1.1.20.3.1</t>
  </si>
  <si>
    <t>epScnInputFunctionPaperSizeMaxNum</t>
  </si>
  <si>
    <t>1.3.6.1.4.1.1248.1.4.2.6.1.1.21.3.1</t>
  </si>
  <si>
    <t>epScnInputFunctionPaperSizeTotalScannedCounterUnit</t>
  </si>
  <si>
    <t>1.3.6.1.4.1.1248.1.4.2.6.1.1.22.3.1</t>
  </si>
  <si>
    <t>epScnInputLifeTotalScannedUnit</t>
  </si>
  <si>
    <t>1.3.6.1.4.1.1248.1.4.2.6.1.1.23.3.1</t>
  </si>
  <si>
    <t>epScnInputLifeTotalScanned</t>
  </si>
  <si>
    <t>1.3.6.1.4.1.1248.1.4.2.6.1.1.24.3.1</t>
  </si>
  <si>
    <t>epScnInputLifeTotalSimplexScanned</t>
  </si>
  <si>
    <t>1.3.6.1.4.1.1248.1.4.2.6.1.1.25.3.1</t>
  </si>
  <si>
    <t>epScnInputLifeTotalColorScanned</t>
  </si>
  <si>
    <t>1.3.6.1.4.1.1248.1.4.2.6.1.1.26.3.1</t>
  </si>
  <si>
    <t>epScnInputLifeTotalColorSimplexScanned</t>
  </si>
  <si>
    <t>1.3.6.1.4.1.1248.1.4.2.6.1.1.27.3.1</t>
  </si>
  <si>
    <t>epScnInputTotaCSSensorDirtCount</t>
  </si>
  <si>
    <t>1.3.6.1.4.1.1248.1.4.2.6.1.1.28.3.1</t>
  </si>
  <si>
    <t>1.3.6.1.4.1.1248.1.4.2.6.1.1.29.3.1</t>
  </si>
  <si>
    <t>epScnInputPaperSizeType</t>
  </si>
  <si>
    <t>1.3.6.1.4.1.1248.1.4.2.6.3.1.2.3.1.1</t>
  </si>
  <si>
    <t>epScnInputPaperSizeTotalScanned</t>
  </si>
  <si>
    <t>1.3.6.1.4.1.1248.1.4.2.6.3.1.3.3.1.1</t>
  </si>
  <si>
    <t>epScnInputFunctionPaperSizeFunctionType</t>
  </si>
  <si>
    <t>1.3.6.1.4.1.1248.1.4.2.6.4.1.2.3.1.1</t>
  </si>
  <si>
    <t>epScnInputFunctionPaperSizePaperSizeType</t>
  </si>
  <si>
    <t>1.3.6.1.4.1.1248.1.4.2.6.4.1.3.3.1.1</t>
  </si>
  <si>
    <t>epScnInputFunctionPaperSizeTotalScannedCount</t>
  </si>
  <si>
    <t>1.3.6.1.4.1.1248.1.4.2.6.4.1.4.3.1.1</t>
  </si>
  <si>
    <t>epScnScanTotalLampTimeUnit</t>
  </si>
  <si>
    <t>1.3.6.1.4.1.1248.1.4.2.7.1.1.4.3.1</t>
  </si>
  <si>
    <t>epScnScanTotalLampTime</t>
  </si>
  <si>
    <t>1.3.6.1.4.1.1248.1.4.2.7.1.1.5.3.1</t>
  </si>
  <si>
    <t>epScnScanMinTempBufferSize</t>
  </si>
  <si>
    <t>1.3.6.1.4.1.1248.1.4.2.7.1.1.6.3.1</t>
  </si>
  <si>
    <t>epScnScanMaxTempBufferSize</t>
  </si>
  <si>
    <t>1.3.6.1.4.1.1248.1.4.2.7.1.1.7.3.1</t>
  </si>
  <si>
    <t>epScnScanTempBufferSize</t>
  </si>
  <si>
    <t>1.3.6.1.4.1.1248.1.4.2.7.1.1.8.3.1</t>
  </si>
  <si>
    <t>epScnScanADFReadCarriagePositionMoves</t>
  </si>
  <si>
    <t>1.3.6.1.4.1.1248.1.4.2.7.1.1.9.3.1</t>
  </si>
  <si>
    <t>epScnScanTotalFrontLampTime</t>
  </si>
  <si>
    <t>1.3.6.1.4.1.1248.1.4.2.7.1.1.10.3.1</t>
  </si>
  <si>
    <t>epScnScanCoverHalfCloseToFullCloseMinTime</t>
  </si>
  <si>
    <t>1.3.6.1.4.1.1248.1.4.2.7.1.1.11.3.1</t>
  </si>
  <si>
    <t>epScnScanCoverHalfCloseToFullCloseMaxTime</t>
  </si>
  <si>
    <t>1.3.6.1.4.1.1248.1.4.2.7.1.1.12.3.1</t>
  </si>
  <si>
    <t>epScnScanCoverHalfCloseToFullCloseTotalTime</t>
  </si>
  <si>
    <t>1.3.6.1.4.1.1248.1.4.2.7.1.1.13.3.1</t>
  </si>
  <si>
    <t>epScnScanCoverHalfCloseToFullCloseTotalNum</t>
  </si>
  <si>
    <t>1.3.6.1.4.1.1248.1.4.2.7.1.1.14.3.1</t>
  </si>
  <si>
    <t>epScnScanPaperTypeMaxNum</t>
  </si>
  <si>
    <t>1.3.6.1.4.1.1248.1.4.2.7.1.1.15.3.1</t>
  </si>
  <si>
    <t>1.3.6.1.4.1.1248.1.4.2.7.1.1.16.3.1</t>
  </si>
  <si>
    <t>1.3.6.1.4.1.1248.1.4.2.7.1.1.17.3.1</t>
  </si>
  <si>
    <t>1.3.6.1.4.1.1248.1.4.2.7.1.1.18.3.1</t>
  </si>
  <si>
    <t>1.3.6.1.4.1.1248.1.4.2.7.1.1.19.3.1</t>
  </si>
  <si>
    <t>1.3.6.1.4.1.1248.1.4.2.7.1.1.20.3.1</t>
  </si>
  <si>
    <t>1.3.6.1.4.1.1248.1.4.2.7.1.1.21.3.1</t>
  </si>
  <si>
    <t>1.3.6.1.4.1.1248.1.4.2.7.1.1.22.3.1</t>
  </si>
  <si>
    <t>1.3.6.1.4.1.1248.1.4.2.7.1.1.23.3.1</t>
  </si>
  <si>
    <t>1.3.6.1.4.1.1248.1.4.2.7.1.1.24.3.1</t>
  </si>
  <si>
    <t>epScnScanTotalScannedPerNumOfScansCounterUnit</t>
  </si>
  <si>
    <t>1.3.6.1.4.1.1248.1.4.2.7.2.1.2.3.1.1</t>
  </si>
  <si>
    <t>epScnScanTotalScannedPerNumOfScansStart</t>
  </si>
  <si>
    <t>1.3.6.1.4.1.1248.1.4.2.7.2.1.3.3.1.1</t>
  </si>
  <si>
    <t>epScnScanTotalScannedPerNumOfScansEnd</t>
  </si>
  <si>
    <t>1.3.6.1.4.1.1248.1.4.2.7.2.1.4.3.1.1</t>
  </si>
  <si>
    <t>epScnScanTotalScannedPerNumOfScansCount</t>
  </si>
  <si>
    <t>1.3.6.1.4.1.1248.1.4.2.7.2.1.5.3.1.1</t>
  </si>
  <si>
    <t>1.3.6.1.4.1.1248.1.4.2.7.3.1.1.3.1</t>
  </si>
  <si>
    <t>1.3.6.1.4.1.1248.1.4.2.7.3.1.2.3.1</t>
  </si>
  <si>
    <t>1.3.6.1.4.1.1248.1.4.2.7.3.1.3.3.1</t>
  </si>
  <si>
    <t>1.3.6.1.4.1.1248.1.4.2.7.4.1.5.1.1.1</t>
  </si>
  <si>
    <t>1.3.6.1.4.1.1248.1.4.2.7.5.1.3.1.1.1</t>
  </si>
  <si>
    <t>1.3.6.1.4.1.1248.1.4.2.8.1.1.1.3</t>
  </si>
  <si>
    <t>1.3.6.1.4.1.1248.1.4.2.8.1.1.2.3</t>
  </si>
  <si>
    <t>1.3.6.1.4.1.1248.1.4.2.8.1.1.3.3</t>
  </si>
  <si>
    <t>1.3.6.1.4.1.1248.1.4.2.8.1.1.4.3</t>
  </si>
  <si>
    <t>1.3.6.1.4.1.1248.1.4.2.8.2.1.2.3.1</t>
  </si>
  <si>
    <t>1.3.6.1.4.1.1248.1.4.2.8.3.1.2.3.1</t>
  </si>
  <si>
    <t>1.3.6.1.4.1.1248.1.4.2.8.3.1.3.3.1</t>
  </si>
  <si>
    <t>epScnScanToFolderEnable</t>
  </si>
  <si>
    <t>1.3.6.1.4.1.1248.1.4.2.9.1.1.1.3</t>
  </si>
  <si>
    <t>epScnScanToFolderDefaultAddressProhibitEnable</t>
  </si>
  <si>
    <t>1.3.6.1.4.1.1248.1.4.2.9.1.1.2.3</t>
  </si>
  <si>
    <t>1.3.6.1.4.1.1248.1.4.2.9.2.1.1.3</t>
  </si>
  <si>
    <t>epScnScanToFolderUserSupportMaxAuthenticationNameSize</t>
  </si>
  <si>
    <t>1.3.6.1.4.1.1248.1.4.2.9.2.1.3.3</t>
  </si>
  <si>
    <t>epScnScanToFolderUserSupportMaxAuthenticationPasswordSize</t>
  </si>
  <si>
    <t>1.3.6.1.4.1.1248.1.4.2.9.2.1.4.3</t>
  </si>
  <si>
    <t>epScnScanToFolderUserSupportAccessProtocols</t>
  </si>
  <si>
    <t>1.3.6.1.4.1.1248.1.4.2.9.2.1.5.3</t>
  </si>
  <si>
    <t>1.3.6.1.4.1.1248.1.4.2.9.2.1.6.3</t>
  </si>
  <si>
    <t>epScnScanToFolderUserSupportProxy</t>
  </si>
  <si>
    <t>1.3.6.1.4.1.1248.1.4.2.9.2.1.7.3</t>
  </si>
  <si>
    <t>epScnScanToFolderUserSupportCeertValidation</t>
  </si>
  <si>
    <t>1.3.6.1.4.1.1248.1.4.2.9.2.1.8.3</t>
  </si>
  <si>
    <t>epScnScanToFolderUserSettingAddress</t>
  </si>
  <si>
    <t>1.3.6.1.4.1.1248.1.4.2.9.3.1.2.3.1</t>
  </si>
  <si>
    <t>epScnScanToFolderUserSettingAddress2</t>
  </si>
  <si>
    <t>1.3.6.1.4.1.1248.1.4.2.9.3.1.3.3.1</t>
  </si>
  <si>
    <t>epScnScanToFolderUserSettingAddress3</t>
  </si>
  <si>
    <t>1.3.6.1.4.1.1248.1.4.2.9.3.1.4.3.1</t>
  </si>
  <si>
    <t>epScnScanToFolderUserSettingAuthenticationName</t>
  </si>
  <si>
    <t>1.3.6.1.4.1.1248.1.4.2.9.3.1.5.3.1</t>
  </si>
  <si>
    <t>epScnScanToFolderUserSettingAuthenticationPassword</t>
  </si>
  <si>
    <t>1.3.6.1.4.1.1248.1.4.2.9.3.1.6.3.1</t>
  </si>
  <si>
    <t>epScnScanToFolderUserSettingAccessProtocol</t>
  </si>
  <si>
    <t>1.3.6.1.4.1.1248.1.4.2.9.3.1.7.3.1</t>
  </si>
  <si>
    <t>epScnScanToFolderUserSettingFtpPort</t>
  </si>
  <si>
    <t>1.3.6.1.4.1.1248.1.4.2.9.3.1.8.3.1</t>
  </si>
  <si>
    <t>epScnScanToFolderUserSettingFtpPassiveModeEnable</t>
  </si>
  <si>
    <t>1.3.6.1.4.1.1248.1.4.2.9.3.1.9.3.1</t>
  </si>
  <si>
    <t>epScnScanToFolderUserSettingSecureConnectionEnable</t>
  </si>
  <si>
    <t>1.3.6.1.4.1.1248.1.4.2.9.3.1.10.3.1</t>
  </si>
  <si>
    <t>epScnScanToFolderUserSettingProxyEnable</t>
  </si>
  <si>
    <t>1.3.6.1.4.1.1248.1.4.2.9.3.1.11.3.1</t>
  </si>
  <si>
    <t>epScnScanToFolderUserSettingCertValidationEnable</t>
  </si>
  <si>
    <t>1.3.6.1.4.1.1248.1.4.2.9.3.1.12.3.1</t>
  </si>
  <si>
    <t>1.3.6.1.4.1.1248.1.4.2.10.1.1.1.3</t>
  </si>
  <si>
    <t>1.3.6.1.4.1.1248.1.4.2.11.1.1.1.3</t>
  </si>
  <si>
    <t>1.3.6.1.4.1.1248.1.4.2.12.1.1.2.3.1</t>
  </si>
  <si>
    <t>1.3.6.1.4.1.1248.1.4.2.12.1.1.3.3.1</t>
  </si>
  <si>
    <t>epScnAlertSeverityLevel</t>
  </si>
  <si>
    <t>1.3.6.1.4.1.1248.1.4.2.13.1.1.2.3.1</t>
  </si>
  <si>
    <t>1.3.6.1.4.1.1248.1.4.2.13.1.1.3.3.1</t>
  </si>
  <si>
    <t>1.3.6.1.4.1.1248.1.4.2.13.1.1.7.3.1</t>
  </si>
  <si>
    <t>1.3.6.1.4.1.1248.1.4.2.13.1.1.8.3.1</t>
  </si>
  <si>
    <t>epScnChangePartsType</t>
  </si>
  <si>
    <t>1.3.6.1.4.1.1248.1.4.2.14.1.1.2.3.1</t>
  </si>
  <si>
    <t>1.3.6.1.4.1.1248.1.4.2.14.1.1.3.3.1</t>
  </si>
  <si>
    <t>epScnChangePartsCounterType</t>
  </si>
  <si>
    <t>1.3.6.1.4.1.1248.1.4.2.14.1.1.4.3.1</t>
  </si>
  <si>
    <t>epScnChangePartsCounterUnit</t>
  </si>
  <si>
    <t>1.3.6.1.4.1.1248.1.4.2.14.1.1.5.3.1</t>
  </si>
  <si>
    <t>1.3.6.1.4.1.1248.1.4.2.14.1.1.6.3.1</t>
  </si>
  <si>
    <t>epScnChangePartsCounter</t>
  </si>
  <si>
    <t>1.3.6.1.4.1.1248.1.4.2.14.1.1.7.3.1</t>
  </si>
  <si>
    <t>epScnChangePartsChanged</t>
  </si>
  <si>
    <t>1.3.6.1.4.1.1248.1.4.2.14.1.1.8.3.1</t>
  </si>
  <si>
    <t>1.3.6.1.4.1.1248.1.4.2.14.2.1.2.3.1</t>
  </si>
  <si>
    <t>1.3.6.1.4.1.1248.1.4.2.14.2.1.3.3.1</t>
  </si>
  <si>
    <t>1.3.6.1.4.1.1248.1.4.2.14.2.1.4.3.1</t>
  </si>
  <si>
    <t>1.3.6.1.4.1.1248.1.4.2.14.2.1.5.3.1</t>
  </si>
  <si>
    <t>1.3.6.1.4.1.1248.1.4.2.14.2.1.6.3.1</t>
  </si>
  <si>
    <t>1.3.6.1.4.1.1248.1.4.2.14.2.1.7.3.1</t>
  </si>
  <si>
    <t>epScnErrorHistoryCodeType</t>
  </si>
  <si>
    <t>1.3.6.1.4.1.1248.1.4.2.15.1.1.2.3.1</t>
  </si>
  <si>
    <t>epScnErrorHistoryCode</t>
  </si>
  <si>
    <t>1.3.6.1.4.1.1248.1.4.2.15.1.1.3.3.1</t>
  </si>
  <si>
    <t>epScnScanToSupportType</t>
  </si>
  <si>
    <t>1.3.6.1.4.1.1248.1.4.2.17.1.1.2.3.1</t>
  </si>
  <si>
    <t>epScnScanToSupportMaxSettingsNum</t>
  </si>
  <si>
    <t>1.3.6.1.4.1.1248.1.4.2.17.1.1.3.3.1</t>
  </si>
  <si>
    <t>epScnScanToSupportSaveFormat</t>
  </si>
  <si>
    <t>1.3.6.1.4.1.1248.1.4.2.17.1.1.4.3.1</t>
  </si>
  <si>
    <t>epScnScanToSupportColorMode</t>
  </si>
  <si>
    <t>1.3.6.1.4.1.1248.1.4.2.17.1.1.5.3.1</t>
  </si>
  <si>
    <t>epScnScanToSupport2Sided</t>
  </si>
  <si>
    <t>1.3.6.1.4.1.1248.1.4.2.17.1.1.6.3.1</t>
  </si>
  <si>
    <t>epScnScanToSupportDocumentType</t>
  </si>
  <si>
    <t>1.3.6.1.4.1.1248.1.4.2.17.1.1.7.3.1</t>
  </si>
  <si>
    <t>epScnScanToSupportMaxDensity</t>
  </si>
  <si>
    <t>1.3.6.1.4.1.1248.1.4.2.17.1.1.8.3.1</t>
  </si>
  <si>
    <t>epScnScanToSupportMinDensity</t>
  </si>
  <si>
    <t>1.3.6.1.4.1.1248.1.4.2.17.1.1.9.3.1</t>
  </si>
  <si>
    <t>epScnScanToSupportResolution</t>
  </si>
  <si>
    <t>1.3.6.1.4.1.1248.1.4.2.17.1.1.10.3.1</t>
  </si>
  <si>
    <t>epScnScanToSupportCompressionRatio</t>
  </si>
  <si>
    <t>1.3.6.1.4.1.1248.1.4.2.17.1.1.11.3.1</t>
  </si>
  <si>
    <t>epScnScanToSupportRemoveShadow</t>
  </si>
  <si>
    <t>1.3.6.1.4.1.1248.1.4.2.17.1.1.12.3.1</t>
  </si>
  <si>
    <t>epScnScanToSupportRemoveShadowMaxSurround</t>
  </si>
  <si>
    <t>1.3.6.1.4.1.1248.1.4.2.17.1.1.13.3.1</t>
  </si>
  <si>
    <t>epScnScanToSupportRemoveShadowMaxCenter</t>
  </si>
  <si>
    <t>1.3.6.1.4.1.1248.1.4.2.17.1.1.14.3.1</t>
  </si>
  <si>
    <t>epScnScanToSupportRemovePunchHoles</t>
  </si>
  <si>
    <t>1.3.6.1.4.1.1248.1.4.2.17.1.1.15.3.1</t>
  </si>
  <si>
    <t>epScnScanToSupportRemovePunchHolesMaxEraseAmount</t>
  </si>
  <si>
    <t>1.3.6.1.4.1.1248.1.4.2.17.1.1.16.3.1</t>
  </si>
  <si>
    <t>epScnScanToSupportRemoveBackground</t>
  </si>
  <si>
    <t>1.3.6.1.4.1.1248.1.4.2.17.1.1.17.3.1</t>
  </si>
  <si>
    <t>epScnScanToSupportRemoveBackgroundMaxManualAmount</t>
  </si>
  <si>
    <t>1.3.6.1.4.1.1248.1.4.2.17.1.1.18.3.1</t>
  </si>
  <si>
    <t>epScnScanToSupportRemoveBackgroundMinManualAmount</t>
  </si>
  <si>
    <t>1.3.6.1.4.1.1248.1.4.2.17.1.1.19.3.1</t>
  </si>
  <si>
    <t>epScnScanToSupportFileNamePrefixMaxSize</t>
  </si>
  <si>
    <t>1.3.6.1.4.1.1248.1.4.2.17.1.1.20.3.1</t>
  </si>
  <si>
    <t>epScnScanToSupportSkipBlankPageMaxThreshold</t>
  </si>
  <si>
    <t>1.3.6.1.4.1.1248.1.4.2.17.1.1.21.3.1</t>
  </si>
  <si>
    <t>epScnScanToSupportSkipBlankPageMinThreshold</t>
  </si>
  <si>
    <t>1.3.6.1.4.1.1248.1.4.2.17.1.1.22.3.1</t>
  </si>
  <si>
    <t>epScnScanToSettingSaveFormat</t>
  </si>
  <si>
    <t>1.3.6.1.4.1.1248.1.4.2.17.2.1.2.3.1.1</t>
  </si>
  <si>
    <t>epScnScanToSettingColorMode</t>
  </si>
  <si>
    <t>1.3.6.1.4.1.1248.1.4.2.17.2.1.3.3.1.1</t>
  </si>
  <si>
    <t>epScnScanToSettingScanArea</t>
  </si>
  <si>
    <t>1.3.6.1.4.1.1248.1.4.2.17.2.1.4.3.1.1</t>
  </si>
  <si>
    <t>epScnScanToSetting2Sided</t>
  </si>
  <si>
    <t>1.3.6.1.4.1.1248.1.4.2.17.2.1.5.3.1.1</t>
  </si>
  <si>
    <t>epScnScanToSettingDocumentType</t>
  </si>
  <si>
    <t>1.3.6.1.4.1.1248.1.4.2.17.2.1.6.3.1.1</t>
  </si>
  <si>
    <t>epScnScanToSettingDensity</t>
  </si>
  <si>
    <t>1.3.6.1.4.1.1248.1.4.2.17.2.1.7.3.1.1</t>
  </si>
  <si>
    <t>epScnScanToSettingDocumentOrientation</t>
  </si>
  <si>
    <t>1.3.6.1.4.1.1248.1.4.2.17.2.1.8.3.1.1</t>
  </si>
  <si>
    <t>epScnScanToSettingResolution</t>
  </si>
  <si>
    <t>1.3.6.1.4.1.1248.1.4.2.17.2.1.9.3.1.1</t>
  </si>
  <si>
    <t>epScnScanToSettingCompressionRatio</t>
  </si>
  <si>
    <t>1.3.6.1.4.1.1248.1.4.2.17.2.1.10.3.1.1</t>
  </si>
  <si>
    <t>epScnScanToSettingPDFDocumentOpenPasswordEnable</t>
  </si>
  <si>
    <t>1.3.6.1.4.1.1248.1.4.2.17.2.1.11.3.1.1</t>
  </si>
  <si>
    <t>epScnScanToSettingPDFPermissionsPasswordEnable</t>
  </si>
  <si>
    <t>1.3.6.1.4.1.1248.1.4.2.17.2.1.12.3.1.1</t>
  </si>
  <si>
    <t>epScnScanToSettingPDFPrintingEnable</t>
  </si>
  <si>
    <t>1.3.6.1.4.1.1248.1.4.2.17.2.1.13.3.1.1</t>
  </si>
  <si>
    <t>epScnScanToSettingPDFEditionEnable</t>
  </si>
  <si>
    <t>1.3.6.1.4.1.1248.1.4.2.17.2.1.14.3.1.1</t>
  </si>
  <si>
    <t>1.3.6.1.4.1.1248.1.4.2.17.2.1.15.3.1.1</t>
  </si>
  <si>
    <t>epScnScanToSettingRemoveShadowSurround</t>
  </si>
  <si>
    <t>1.3.6.1.4.1.1248.1.4.2.17.2.1.16.3.1.1</t>
  </si>
  <si>
    <t>epScnScanToSettingRemoveShadowCenter</t>
  </si>
  <si>
    <t>1.3.6.1.4.1.1248.1.4.2.17.2.1.17.3.1.1</t>
  </si>
  <si>
    <t>epScnScanToSettingRemovePunchHoles</t>
  </si>
  <si>
    <t>1.3.6.1.4.1.1248.1.4.2.17.2.1.18.3.1.1</t>
  </si>
  <si>
    <t>epScnScanToSettingRemovePunchHolesEraseAmount</t>
  </si>
  <si>
    <t>1.3.6.1.4.1.1248.1.4.2.17.2.1.19.3.1.1</t>
  </si>
  <si>
    <t>epScnScanToSettingRemoveBackground</t>
  </si>
  <si>
    <t>1.3.6.1.4.1.1248.1.4.2.17.2.1.20.3.1.1</t>
  </si>
  <si>
    <t>epScnScanToSettingRemoveBackgroundManualAmount</t>
  </si>
  <si>
    <t>1.3.6.1.4.1.1248.1.4.2.17.2.1.21.3.1.1</t>
  </si>
  <si>
    <t>epScnScanToSettingFileNamePrefix</t>
  </si>
  <si>
    <t>1.3.6.1.4.1.1248.1.4.2.17.2.1.22.3.1.1</t>
  </si>
  <si>
    <t>epScnScanToSettingFileNameDate</t>
  </si>
  <si>
    <t>1.3.6.1.4.1.1248.1.4.2.17.2.1.23.3.1.1</t>
  </si>
  <si>
    <t>epScnScanToSettingFileNameTime</t>
  </si>
  <si>
    <t>1.3.6.1.4.1.1248.1.4.2.17.2.1.24.3.1.1</t>
  </si>
  <si>
    <t>epScnScanToSettingMixedDocuments</t>
  </si>
  <si>
    <t>1.3.6.1.4.1.1248.1.4.2.17.2.1.25.3.1.1</t>
  </si>
  <si>
    <t>epScnScanToSettingAdfContinuousScan</t>
  </si>
  <si>
    <t>1.3.6.1.4.1.1248.1.4.2.17.2.1.26.3.1.1</t>
  </si>
  <si>
    <t>epScnScanToSettingDocumentDirection</t>
  </si>
  <si>
    <t>1.3.6.1.4.1.1248.1.4.2.17.2.1.27.3.1.1</t>
  </si>
  <si>
    <t>epScnScanToSettingDetectDoubleFeed</t>
  </si>
  <si>
    <t>1.3.6.1.4.1.1248.1.4.2.17.2.1.28.3.1.1</t>
  </si>
  <si>
    <t>epScnScanToSettingRemoveShadowTop</t>
  </si>
  <si>
    <t>1.3.6.1.4.1.1248.1.4.2.17.2.1.29.3.1.1</t>
  </si>
  <si>
    <t>epScnScanToSettingRemoveShadowBottom</t>
  </si>
  <si>
    <t>1.3.6.1.4.1.1248.1.4.2.17.2.1.30.3.1.1</t>
  </si>
  <si>
    <t>epScnScanToSettingRemoveShadowRight</t>
  </si>
  <si>
    <t>1.3.6.1.4.1.1248.1.4.2.17.2.1.31.3.1.1</t>
  </si>
  <si>
    <t>epScnScanToSettingRemoveShadowLeft</t>
  </si>
  <si>
    <t>1.3.6.1.4.1.1248.1.4.2.17.2.1.32.3.1.1</t>
  </si>
  <si>
    <t>1.3.6.1.4.1.1248.1.4.2.17.2.1.33.3.1.1</t>
  </si>
  <si>
    <t>epScnScanToSettingRemoveShadowBackCenter</t>
  </si>
  <si>
    <t>1.3.6.1.4.1.1248.1.4.2.17.2.1.34.3.1.1</t>
  </si>
  <si>
    <t>epScnScanToSettingRemoveShadowBackTop</t>
  </si>
  <si>
    <t>1.3.6.1.4.1.1248.1.4.2.17.2.1.35.3.1.1</t>
  </si>
  <si>
    <t>epScnScanToSettingRemoveShadowBackBottom</t>
  </si>
  <si>
    <t>1.3.6.1.4.1.1248.1.4.2.17.2.1.36.3.1.1</t>
  </si>
  <si>
    <t>epScnScanToSettingRemoveShadowBackRight</t>
  </si>
  <si>
    <t>1.3.6.1.4.1.1248.1.4.2.17.2.1.37.3.1.1</t>
  </si>
  <si>
    <t>epScnScanToSettingRemoveShadowBackLeft</t>
  </si>
  <si>
    <t>1.3.6.1.4.1.1248.1.4.2.17.2.1.38.3.1.1</t>
  </si>
  <si>
    <t>epScnScanToSettingScanAreaDimUnit</t>
  </si>
  <si>
    <t>1.3.6.1.4.1.1248.1.4.2.17.2.1.39.3.1.1</t>
  </si>
  <si>
    <t>epScnScanToSettingScanAreaDimReadDir</t>
  </si>
  <si>
    <t>1.3.6.1.4.1.1248.1.4.2.17.2.1.40.3.1.1</t>
  </si>
  <si>
    <t>epScnScanToSettingScanAreaDimYReadDir</t>
  </si>
  <si>
    <t>1.3.6.1.4.1.1248.1.4.2.17.2.1.41.3.1.1</t>
  </si>
  <si>
    <t>epScnScanToSettingScanAreaDimPresetIndex</t>
  </si>
  <si>
    <t>1.3.6.1.4.1.1248.1.4.2.17.2.1.42.3.1.1</t>
  </si>
  <si>
    <t>epScnScanToSettingPDFHighCompressionEnable</t>
  </si>
  <si>
    <t>1.3.6.1.4.1.1248.1.4.2.17.2.1.43.3.1.1</t>
  </si>
  <si>
    <t>1.3.6.1.4.1.1248.1.4.2.17.2.1.44.3.1.1</t>
  </si>
  <si>
    <t>epScnScanToSettingSkipBlankPageThreshold</t>
  </si>
  <si>
    <t>1.3.6.1.4.1.1248.1.4.2.17.2.1.45.3.1.1</t>
  </si>
  <si>
    <t>epScnScanToSettingSearchablePDFEnable</t>
  </si>
  <si>
    <t>1.3.6.1.4.1.1248.1.4.2.17.2.1.46.3.1.1</t>
  </si>
  <si>
    <t>epScnScanToSettingSearchablePDFLanguage</t>
  </si>
  <si>
    <t>1.3.6.1.4.1.1248.1.4.2.17.2.1.47.3.1.1</t>
  </si>
  <si>
    <t>epScnScanToSettingSearchablePDFAutoRotateEnable</t>
  </si>
  <si>
    <t>1.3.6.1.4.1.1248.1.4.2.17.2.1.48.3.1.1</t>
  </si>
  <si>
    <t>epScnScanAreaType</t>
  </si>
  <si>
    <t>1.3.6.1.4.1.1248.1.4.2.18.1.1.2.3.1</t>
  </si>
  <si>
    <t>epScnScanAreaDirection</t>
  </si>
  <si>
    <t>1.3.6.1.4.1.1248.1.4.2.18.1.1.3.3.1</t>
  </si>
  <si>
    <t>epScnScanAreaName</t>
  </si>
  <si>
    <t>1.3.6.1.4.1.1248.1.4.2.18.1.1.4.3.1</t>
  </si>
  <si>
    <t>epScnPresetAreaDimSupportUnitSupport</t>
  </si>
  <si>
    <t>1.3.6.1.4.1.1248.1.4.2.18.2.1.1.3</t>
  </si>
  <si>
    <t>epScnPresetAreaDimSupportMaxSize</t>
  </si>
  <si>
    <t>1.3.6.1.4.1.1248.1.4.2.18.2.1.2.3</t>
  </si>
  <si>
    <t>1.3.6.1.4.1.1248.1.4.2.18.2.1.3.3</t>
  </si>
  <si>
    <t>epScnPresetAreaDimUnitSupportUnit</t>
  </si>
  <si>
    <t>1.3.6.1.4.1.1248.1.4.2.18.3.1.2.3.1</t>
  </si>
  <si>
    <t>epScnPresetAreaMinDimReadDir</t>
  </si>
  <si>
    <t>1.3.6.1.4.1.1248.1.4.2.18.3.1.3.3.1</t>
  </si>
  <si>
    <t>epScnPresetAreaMaxDimReadDir</t>
  </si>
  <si>
    <t>1.3.6.1.4.1.1248.1.4.2.18.3.1.4.3.1</t>
  </si>
  <si>
    <t>epScnPresetAreaMinDimYReadDir</t>
  </si>
  <si>
    <t>1.3.6.1.4.1.1248.1.4.2.18.3.1.5.3.1</t>
  </si>
  <si>
    <t>epScnPresetAreaMaxDimYReadDir</t>
  </si>
  <si>
    <t>1.3.6.1.4.1.1248.1.4.2.18.3.1.6.3.1</t>
  </si>
  <si>
    <t>epScnPresetAreaDimName</t>
  </si>
  <si>
    <t>1.3.6.1.4.1.1248.1.4.2.18.4.1.2.3.1</t>
  </si>
  <si>
    <t>epScnPresetAreaDimUnit</t>
  </si>
  <si>
    <t>1.3.6.1.4.1.1248.1.4.2.18.4.1.3.3.1</t>
  </si>
  <si>
    <t>epScnPresetAreaDimReadDir</t>
  </si>
  <si>
    <t>1.3.6.1.4.1.1248.1.4.2.18.4.1.4.3.1</t>
  </si>
  <si>
    <t>epScnPresetAreaDimYReadDir</t>
  </si>
  <si>
    <t>1.3.6.1.4.1.1248.1.4.2.18.4.1.5.3.1</t>
  </si>
  <si>
    <t>epScnCommonDoubleFeedSensor</t>
  </si>
  <si>
    <t>1.3.6.1.4.1.1248.1.4.2.19.1.1.1.3</t>
  </si>
  <si>
    <t>1.3.6.1.4.1.1248.1.4.2.19.1.1.2.3</t>
  </si>
  <si>
    <t>1.3.6.1.4.1.1248.1.4.2.19.1.1.3.3</t>
  </si>
  <si>
    <t>1.3.6.1.4.1.1248.1.4.2.19.1.1.4.3</t>
  </si>
  <si>
    <t>1.3.6.1.4.1.1248.1.4.2.19.1.1.5.3</t>
  </si>
  <si>
    <t>1.3.6.1.4.1.1248.1.4.2.19.1.1.6.3</t>
  </si>
  <si>
    <t>1.3.6.1.4.1.1248.1.4.2.19.1.1.7.3</t>
  </si>
  <si>
    <t>1.3.6.1.4.1.1248.1.4.2.19.1.1.8.3</t>
  </si>
  <si>
    <t>1.3.6.1.4.1.1248.1.4.2.19.1.1.9.3</t>
  </si>
  <si>
    <t>1.3.6.1.4.1.1248.1.4.2.19.1.1.10.3</t>
  </si>
  <si>
    <t>1.3.6.1.4.1.1248.1.4.2.19.1.1.11.3</t>
  </si>
  <si>
    <t>1.3.6.1.4.1.1248.1.4.2.19.1.1.12.3</t>
  </si>
  <si>
    <t>1.3.6.1.4.1.1248.1.4.2.19.1.1.13.3</t>
  </si>
  <si>
    <t>1.3.6.1.4.1.1248.1.4.2.19.1.1.14.3</t>
  </si>
  <si>
    <t>1.3.6.1.4.1.1248.1.4.2.19.1.1.15.3</t>
  </si>
  <si>
    <t>epScnDCPSAuthEnable</t>
  </si>
  <si>
    <t>1.3.6.1.4.1.1248.1.4.2.20.1.1.1.3</t>
  </si>
  <si>
    <t>epScnDCPSConnectVersion</t>
  </si>
  <si>
    <t>1.3.6.1.4.1.1248.1.4.2.20.1.1.2.3</t>
  </si>
  <si>
    <t>epScnPushScanConnection</t>
  </si>
  <si>
    <t>1.3.6.1.4.1.1248.1.4.2.21.1.1.1.3</t>
  </si>
  <si>
    <t>epScnPushScanConnectionProperty</t>
  </si>
  <si>
    <t>1.3.6.1.4.1.1248.1.4.2.21.1.1.2.3</t>
  </si>
  <si>
    <t>epScnOCRLocalizationLanguageType</t>
  </si>
  <si>
    <t>1.3.6.1.4.1.1248.1.4.2.22.1.2.3.1</t>
  </si>
  <si>
    <t>1.3.6.1.4.1.1248.1.8.2.1.1.1.2.2</t>
  </si>
  <si>
    <t>epHrDeviceType</t>
  </si>
  <si>
    <t>1.3.6.1.4.1.1248.1.8.2.1.1.1.3.1</t>
  </si>
  <si>
    <t>1.3.6.1.4.1.1248.1.8.2.1.1.1.5.2</t>
  </si>
  <si>
    <t>1.3.6.1.4.1.1248.1.8.2.1.1.1.6.2</t>
  </si>
  <si>
    <t>epHrDeviceHardDevicesSupport</t>
  </si>
  <si>
    <t>1.3.6.1.4.1.1248.1.8.2.1.1.1.7.2</t>
  </si>
  <si>
    <t>1.3.6.1.4.1.1248.1.8.2.1.1.1.8.2</t>
  </si>
  <si>
    <t>epHrDeviceHardwareType</t>
  </si>
  <si>
    <t>1.3.6.1.4.1.1248.1.8.2.1.1.1.9.2</t>
  </si>
  <si>
    <t>epHrDeviceProductName</t>
  </si>
  <si>
    <t>1.3.6.1.4.1.1248.1.8.2.1.1.1.10.2</t>
  </si>
  <si>
    <t>epHrDeviceID</t>
  </si>
  <si>
    <t>1.3.6.1.4.1.1248.1.8.2.1.1.1.11.2</t>
  </si>
  <si>
    <t>1.3.6.1.4.1.1248.1.8.2.1.2.1.2.2.1</t>
  </si>
  <si>
    <t>epHrDeviceRefType</t>
  </si>
  <si>
    <t>epHrDeviceRefConnection</t>
  </si>
  <si>
    <t>epHrDeviceRefVersionNumber</t>
  </si>
  <si>
    <t>1.3.6.1.4.1.1248.1.8.2.1.2.1.5.2.1</t>
  </si>
  <si>
    <t>epHrLocalizationLanguage</t>
  </si>
  <si>
    <t>1.3.6.1.4.1.1248.1.8.2.2.1.1.2.2.1</t>
  </si>
  <si>
    <t>1.3.6.1.4.1.1248.1.8.2.2.1.1.3.2.1</t>
  </si>
  <si>
    <t>1.3.6.1.4.1.1248.1.8.2.2.1.1.4.2.1</t>
  </si>
  <si>
    <t>1.3.6.1.4.1.1248.1.8.2.3.1.1.1.2</t>
  </si>
  <si>
    <t>epHrDefaultMode</t>
  </si>
  <si>
    <t>1.3.6.1.4.1.1248.1.8.2.3.1.1.2.2</t>
  </si>
  <si>
    <t>epHrAutoClearJobSettingsTimeoutEnable</t>
  </si>
  <si>
    <t>1.3.6.1.4.1.1248.1.8.2.3.1.1.3.2</t>
  </si>
  <si>
    <t>epHrAutoClearJobSettingsTimeoutSupport</t>
  </si>
  <si>
    <t>1.3.6.1.4.1.1248.1.8.2.3.1.1.4.2</t>
  </si>
  <si>
    <t>1.3.6.1.4.1.1248.1.8.2.3.1.1.5.2</t>
  </si>
  <si>
    <t>epHrAutoClearJobSettingsMaxTimeoutValue</t>
  </si>
  <si>
    <t>1.3.6.1.4.1.1248.1.8.2.3.1.1.6.2</t>
  </si>
  <si>
    <t>epHrAutoClearJobSettingsTimeoutValue</t>
  </si>
  <si>
    <t>1.3.6.1.4.1.1248.1.8.2.3.1.1.7.2</t>
  </si>
  <si>
    <t>epHrPrinterOccupancyTimeoutSupport</t>
  </si>
  <si>
    <t>1.3.6.1.4.1.1248.1.8.2.3.1.1.9.2</t>
  </si>
  <si>
    <t>epHrPrinterOccupancyTimeoutValue</t>
  </si>
  <si>
    <t>1.3.6.1.4.1.1248.1.8.2.3.1.1.12.2</t>
  </si>
  <si>
    <t>epHrDeviceCustomizeFuncEnableSupport</t>
  </si>
  <si>
    <t>1.3.6.1.4.1.1248.1.8.2.3.1.1.14.2</t>
  </si>
  <si>
    <t>epHrDeviceCustomizeFuncEnable</t>
  </si>
  <si>
    <t>1.3.6.1.4.1.1248.1.8.2.3.1.1.15.2</t>
  </si>
  <si>
    <t>epHrDefaultModeSupport</t>
  </si>
  <si>
    <t>1.3.6.1.4.1.1248.1.8.2.3.1.1.16.2</t>
  </si>
  <si>
    <t>epHrConsoleLocalization</t>
  </si>
  <si>
    <t>1.3.6.1.4.1.1248.1.8.2.3.1.1.17.2</t>
  </si>
  <si>
    <t>epHrConsoleDisableSupport</t>
  </si>
  <si>
    <t>1.3.6.1.4.1.1248.1.8.2.3.1.1.18.2</t>
  </si>
  <si>
    <t>epHrConsoleDisable</t>
  </si>
  <si>
    <t>1.3.6.1.4.1.1248.1.8.2.3.1.1.19.2</t>
  </si>
  <si>
    <t>epHrPasswordPolicyEnable</t>
  </si>
  <si>
    <t>1.3.6.1.4.1.1248.1.8.2.3.1.1.20.2</t>
  </si>
  <si>
    <t>1.3.6.1.4.1.1248.1.8.2.3.1.1.21.2</t>
  </si>
  <si>
    <t>1.3.6.1.4.1.1248.1.8.2.3.1.1.22.2</t>
  </si>
  <si>
    <t>1.3.6.1.4.1.1248.1.8.2.3.1.1.23.2</t>
  </si>
  <si>
    <t>1.3.6.1.4.1.1248.1.8.2.3.1.1.24.2</t>
  </si>
  <si>
    <t>epHrAuditLogEnable</t>
  </si>
  <si>
    <t>1.3.6.1.4.1.1248.1.8.2.3.1.1.25.2</t>
  </si>
  <si>
    <t>epHrMuteEnable</t>
  </si>
  <si>
    <t>1.3.6.1.4.1.1248.1.8.2.3.1.1.26.2</t>
  </si>
  <si>
    <t>epHrCommonToneType</t>
  </si>
  <si>
    <t>1.3.6.1.4.1.1248.1.8.2.3.1.1.27.2</t>
  </si>
  <si>
    <t>epHrSilentModeToneType</t>
  </si>
  <si>
    <t>1.3.6.1.4.1.1248.1.8.2.3.1.1.28.2</t>
  </si>
  <si>
    <t>epHrSilentModeEnable</t>
  </si>
  <si>
    <t>1.3.6.1.4.1.1248.1.8.2.3.1.1.29.2</t>
  </si>
  <si>
    <t>epHrApplicationProhibitEnable</t>
  </si>
  <si>
    <t>1.3.6.1.4.1.1248.1.8.2.3.1.1.30.2</t>
  </si>
  <si>
    <t>epHrServiceSupportLocation</t>
  </si>
  <si>
    <t>1.3.6.1.4.1.1248.1.8.2.3.1.1.31.2</t>
  </si>
  <si>
    <t>epHrInstallationCountryCode</t>
  </si>
  <si>
    <t>1.3.6.1.4.1.1248.1.8.2.3.1.1.32.2</t>
  </si>
  <si>
    <t>1.3.6.1.4.1.1248.1.8.2.3.1.1.33.2</t>
  </si>
  <si>
    <t>1.3.6.1.4.1.1248.1.8.2.3.1.1.34.2</t>
  </si>
  <si>
    <t>1.3.6.1.4.1.1248.1.8.2.3.1.1.35.2</t>
  </si>
  <si>
    <t>1.3.6.1.4.1.1248.1.8.2.3.1.1.36.2</t>
  </si>
  <si>
    <t>epHrConsoleHomeLayout</t>
  </si>
  <si>
    <t>1.3.6.1.4.1.1248.1.8.2.3.1.1.37.2</t>
  </si>
  <si>
    <t>1.3.6.1.4.1.1248.1.8.2.3.1.1.38.2</t>
  </si>
  <si>
    <t>1.3.6.1.4.1.1248.1.8.2.3.1.1.39.2</t>
  </si>
  <si>
    <t>1.3.6.1.4.1.1248.1.8.2.3.1.1.40.2</t>
  </si>
  <si>
    <t>1.3.6.1.4.1.1248.1.8.2.3.1.1.41.2</t>
  </si>
  <si>
    <t>1.3.6.1.4.1.1248.1.8.2.3.1.1.42.2</t>
  </si>
  <si>
    <t>1.3.6.1.4.1.1248.1.8.2.3.1.1.43.2</t>
  </si>
  <si>
    <t>1.3.6.1.4.1.1248.1.8.2.3.1.1.44.2</t>
  </si>
  <si>
    <t>1.3.6.1.4.1.1248.1.8.2.3.1.1.45.2</t>
  </si>
  <si>
    <t>epHrAutoDetectedSizePrioritySupport</t>
  </si>
  <si>
    <t>1.3.6.1.4.1.1248.1.8.2.3.1.1.49.2</t>
  </si>
  <si>
    <t>epHrAutoDetectedSizePriority</t>
  </si>
  <si>
    <t>1.3.6.1.4.1.1248.1.8.2.3.1.1.50.2</t>
  </si>
  <si>
    <t>epHrCommonVolumeType</t>
  </si>
  <si>
    <t>1.3.6.1.4.1.1248.1.8.2.3.2.1.2.2.1</t>
  </si>
  <si>
    <t>1.3.6.1.4.1.1248.1.8.2.3.2.1.3.2.1</t>
  </si>
  <si>
    <t>1.3.6.1.4.1.1248.1.8.2.3.2.1.4.2.1</t>
  </si>
  <si>
    <t>epHrCommonVolume</t>
  </si>
  <si>
    <t>1.3.6.1.4.1.1248.1.8.2.3.2.1.5.2.1</t>
  </si>
  <si>
    <t>1.3.6.1.4.1.1248.1.8.2.3.2.1.6.2.1</t>
  </si>
  <si>
    <t>epHrAutoClearJobSettingsTimeoutSelectableValue</t>
  </si>
  <si>
    <t>1.3.6.1.4.1.1248.1.8.2.3.3.1.2.2.1</t>
  </si>
  <si>
    <t>epHrPrinterOccupancyTimeoutSelectableValue</t>
  </si>
  <si>
    <t>1.3.6.1.4.1.1248.1.8.2.3.4.1.2.2.1</t>
  </si>
  <si>
    <t>epHrSilentModeVolumeType</t>
  </si>
  <si>
    <t>1.3.6.1.4.1.1248.1.8.2.3.5.1.2.2.1</t>
  </si>
  <si>
    <t>epHrSilentModeVolumeMaxVolume</t>
  </si>
  <si>
    <t>1.3.6.1.4.1.1248.1.8.2.3.5.1.3.2.1</t>
  </si>
  <si>
    <t>epHrSilentModeVolumeMinVolume</t>
  </si>
  <si>
    <t>1.3.6.1.4.1.1248.1.8.2.3.5.1.4.2.1</t>
  </si>
  <si>
    <t>epHrSilentModeVolume</t>
  </si>
  <si>
    <t>1.3.6.1.4.1.1248.1.8.2.3.5.1.5.2.1</t>
  </si>
  <si>
    <t>1.3.6.1.4.1.1248.1.8.2.3.8.1.3.2.1</t>
  </si>
  <si>
    <t>epHrSMIMEFunctionDefaultSignature</t>
  </si>
  <si>
    <t>1.3.6.1.4.1.1248.1.8.2.3.8.1.4.2.1</t>
  </si>
  <si>
    <t>epHrOperationType</t>
  </si>
  <si>
    <t>1.3.6.1.4.1.1248.1.8.2.4.1.1.2.2.1</t>
  </si>
  <si>
    <t>epHrOperationSetting</t>
  </si>
  <si>
    <t>1.3.6.1.4.1.1248.1.8.2.4.1.1.3.2.1</t>
  </si>
  <si>
    <t>epHrOperationStatus</t>
  </si>
  <si>
    <t>1.3.6.1.4.1.1248.1.8.2.4.1.1.4.2.1</t>
  </si>
  <si>
    <t>1.3.6.1.4.1.1248.1.8.2.5.1.1.1.2</t>
  </si>
  <si>
    <t>1.3.6.1.4.1.1248.1.8.2.5.1.1.2.2</t>
  </si>
  <si>
    <t>1.3.6.1.4.1.1248.1.8.2.5.1.1.3.2</t>
  </si>
  <si>
    <t>1.3.6.1.4.1.1248.1.8.2.5.1.1.4.2</t>
  </si>
  <si>
    <t>1.3.6.1.4.1.1248.1.8.2.5.1.1.5.2</t>
  </si>
  <si>
    <t>epHrAuthServerAddressSupport</t>
  </si>
  <si>
    <t>1.3.6.1.4.1.1248.1.8.2.5.1.1.6.2</t>
  </si>
  <si>
    <t>epHrAuthServerPort</t>
  </si>
  <si>
    <t>1.3.6.1.4.1.1248.1.8.2.5.1.1.7.2</t>
  </si>
  <si>
    <t>1.3.6.1.4.1.1248.1.8.2.5.2.1.2.2.1</t>
  </si>
  <si>
    <t>1.3.6.1.4.1.1248.1.8.2.5.2.1.3.2.1</t>
  </si>
  <si>
    <t>1.3.6.1.4.1.1248.1.8.2.5.2.1.4.2.1</t>
  </si>
  <si>
    <t>1.3.6.1.4.1.1248.1.8.2.6.1.1.1.2</t>
  </si>
  <si>
    <t>1.3.6.1.4.1.1248.1.8.2.6.1.1.2.2</t>
  </si>
  <si>
    <t>1.3.6.1.4.1.1248.1.8.2.6.1.1.3.2</t>
  </si>
  <si>
    <t>1.3.6.1.4.1.1248.1.8.2.6.1.1.4.2</t>
  </si>
  <si>
    <t>1.3.6.1.4.1.1248.1.8.2.6.1.1.5.2</t>
  </si>
  <si>
    <t>1.3.6.1.4.1.1248.1.8.2.6.1.1.6.2</t>
  </si>
  <si>
    <t>1.3.6.1.4.1.1248.1.8.2.6.1.1.7.2</t>
  </si>
  <si>
    <t>1.3.6.1.4.1.1248.1.8.2.6.1.1.8.2</t>
  </si>
  <si>
    <t>epHrMailSmtpSecureConnection</t>
  </si>
  <si>
    <t>1.3.6.1.4.1.1248.1.8.2.6.1.1.9.2</t>
  </si>
  <si>
    <t>epHrMailCertificateValidation</t>
  </si>
  <si>
    <t>1.3.6.1.4.1.1248.1.8.2.6.1.1.10.2</t>
  </si>
  <si>
    <t>epHrMailAuthenticationPasswordCharType</t>
  </si>
  <si>
    <t>1.3.6.1.4.1.1248.1.8.2.6.1.1.11.2</t>
  </si>
  <si>
    <t>epHrMailAuthenticationAcountMaxSize</t>
  </si>
  <si>
    <t>1.3.6.1.4.1.1248.1.8.2.6.1.1.12.2</t>
  </si>
  <si>
    <t>1.3.6.1.4.1.1248.1.8.2.6.2.1.2.2.1</t>
  </si>
  <si>
    <t>1.3.6.1.4.1.1248.1.8.2.6.2.1.3.2.1</t>
  </si>
  <si>
    <t>1.3.6.1.4.1.1248.1.8.2.6.2.1.4.2.1</t>
  </si>
  <si>
    <t>epHrMailAddressGroupIndex</t>
  </si>
  <si>
    <t>1.3.6.1.4.1.1248.1.8.2.6.2.1.5.2.1</t>
  </si>
  <si>
    <t>epHrMailGroupName</t>
  </si>
  <si>
    <t>1.3.6.1.4.1.1248.1.8.2.6.3.1.2.2.1</t>
  </si>
  <si>
    <t>epHrMailGroupNameInKana</t>
  </si>
  <si>
    <t>1.3.6.1.4.1.1248.1.8.2.6.3.1.3.2.1</t>
  </si>
  <si>
    <t>epHrMailGroupAddressIndex</t>
  </si>
  <si>
    <t>1.3.6.1.4.1.1248.1.8.2.6.3.1.4.2.1</t>
  </si>
  <si>
    <t>epHrMailAddrAndGroupName</t>
  </si>
  <si>
    <t>1.3.6.1.4.1.1248.1.8.2.6.4.1.2.2.1</t>
  </si>
  <si>
    <t>epHrMailAddrAndGroupNameInKana</t>
  </si>
  <si>
    <t>1.3.6.1.4.1.1248.1.8.2.6.4.1.3.2.1</t>
  </si>
  <si>
    <t>epHrMailAddrAndGroupEntryType</t>
  </si>
  <si>
    <t>1.3.6.1.4.1.1248.1.8.2.6.4.1.4.2.1</t>
  </si>
  <si>
    <t>epHrMailAddrAndGroupAddress</t>
  </si>
  <si>
    <t>1.3.6.1.4.1.1248.1.8.2.6.4.1.5.2.1</t>
  </si>
  <si>
    <t>epHrMailAddrAndGroupAddressIndex</t>
  </si>
  <si>
    <t>1.3.6.1.4.1.1248.1.8.2.6.4.1.6.2.1</t>
  </si>
  <si>
    <t>epHrMailAddrAndGroupAddressIndex2</t>
  </si>
  <si>
    <t>1.3.6.1.4.1.1248.1.8.2.6.4.1.7.2.1</t>
  </si>
  <si>
    <t>epHrMailAddrAndGroupRegularAddress</t>
  </si>
  <si>
    <t>1.3.6.1.4.1.1248.1.8.2.6.4.1.8.2.1</t>
  </si>
  <si>
    <t>epHrMailAddrAndGroupUsedFunction</t>
  </si>
  <si>
    <t>1.3.6.1.4.1.1248.1.8.2.6.4.1.9.2.1</t>
  </si>
  <si>
    <t>epHrMailAddrSettingSupport</t>
  </si>
  <si>
    <t>1.3.6.1.4.1.1248.1.8.2.6.5.1.1.2</t>
  </si>
  <si>
    <t>1.3.6.1.4.1.1248.1.8.2.6.5.1.2.2</t>
  </si>
  <si>
    <t>1.3.6.1.4.1.1248.1.8.2.6.5.1.3.2</t>
  </si>
  <si>
    <t>epHrMailAddrMaxAddrsAndGroups</t>
  </si>
  <si>
    <t>1.3.6.1.4.1.1248.1.8.2.6.5.1.4.2</t>
  </si>
  <si>
    <t>1.3.6.1.4.1.1248.1.8.2.6.5.1.5.2</t>
  </si>
  <si>
    <t>1.3.6.1.4.1.1248.1.8.2.6.5.1.6.2</t>
  </si>
  <si>
    <t>epHrMailAddrAndGroupRegistState</t>
  </si>
  <si>
    <t>1.3.6.1.4.1.1248.1.8.2.6.5.1.7.2</t>
  </si>
  <si>
    <t>1.3.6.1.4.1.1248.1.8.2.6.5.1.8.2</t>
  </si>
  <si>
    <t>1.3.6.1.4.1.1248.1.8.2.6.5.1.9.2</t>
  </si>
  <si>
    <t>epHrMailAddrAndGroupLockState</t>
  </si>
  <si>
    <t>1.3.6.1.4.1.1248.1.8.2.6.5.1.10.2</t>
  </si>
  <si>
    <t>epHrMaxMailAddressNumInGroup</t>
  </si>
  <si>
    <t>1.3.6.1.4.1.1248.1.8.2.6.5.1.11.2</t>
  </si>
  <si>
    <t>epHrMailAddrAndGroupRegistState2</t>
  </si>
  <si>
    <t>1.3.6.1.4.1.1248.1.8.2.6.5.1.12.2</t>
  </si>
  <si>
    <t>epHrMailAddrAndGroupLockState2</t>
  </si>
  <si>
    <t>1.3.6.1.4.1.1248.1.8.2.6.5.1.13.2</t>
  </si>
  <si>
    <t>epHrMailAddrRegistAddresses</t>
  </si>
  <si>
    <t>1.3.6.1.4.1.1248.1.8.2.6.5.1.14.2</t>
  </si>
  <si>
    <t>epHrMailAddrRegistGroups</t>
  </si>
  <si>
    <t>1.3.6.1.4.1.1248.1.8.2.6.5.1.15.2</t>
  </si>
  <si>
    <t>epHrMailAddrRegistAddrsAndGroups</t>
  </si>
  <si>
    <t>1.3.6.1.4.1.1248.1.8.2.6.5.1.16.2</t>
  </si>
  <si>
    <t>epHrFolderSupportAccessProtocols</t>
  </si>
  <si>
    <t>1.3.6.1.4.1.1248.1.8.2.7.1.1.1.2</t>
  </si>
  <si>
    <t>epHrFolderMaxAddresses</t>
  </si>
  <si>
    <t>1.3.6.1.4.1.1248.1.8.2.7.1.1.2.2</t>
  </si>
  <si>
    <t>epHrFolderMaxAddressSize</t>
  </si>
  <si>
    <t>1.3.6.1.4.1.1248.1.8.2.7.1.1.3.2</t>
  </si>
  <si>
    <t>epHrFolderRegistState</t>
  </si>
  <si>
    <t>1.3.6.1.4.1.1248.1.8.2.7.1.1.4.2</t>
  </si>
  <si>
    <t>epHrFolderLockState</t>
  </si>
  <si>
    <t>1.3.6.1.4.1.1248.1.8.2.7.1.1.5.2</t>
  </si>
  <si>
    <t>epHrFolderRegistState2</t>
  </si>
  <si>
    <t>1.3.6.1.4.1.1248.1.8.2.7.1.1.6.2</t>
  </si>
  <si>
    <t>epHrFolderLockState2</t>
  </si>
  <si>
    <t>1.3.6.1.4.1.1248.1.8.2.7.1.1.7.2</t>
  </si>
  <si>
    <t>1.3.6.1.4.1.1248.1.8.2.7.1.1.8.2</t>
  </si>
  <si>
    <t>1.3.6.1.4.1.1248.1.8.2.7.1.1.9.2</t>
  </si>
  <si>
    <t>1.3.6.1.4.1.1248.1.8.2.7.1.1.10.2</t>
  </si>
  <si>
    <t>1.3.6.1.4.1.1248.1.8.2.7.2.1.2.2.1</t>
  </si>
  <si>
    <t>1.3.6.1.4.1.1248.1.8.2.7.2.1.3.2.1</t>
  </si>
  <si>
    <t>epHrFolderAddress</t>
  </si>
  <si>
    <t>1.3.6.1.4.1.1248.1.8.2.7.2.1.4.2.1</t>
  </si>
  <si>
    <t>1.3.6.1.4.1.1248.1.8.2.7.2.1.5.2.1</t>
  </si>
  <si>
    <t>epHrFolderAddress3</t>
  </si>
  <si>
    <t>1.3.6.1.4.1.1248.1.8.2.7.2.1.6.2.1</t>
  </si>
  <si>
    <t>1.3.6.1.4.1.1248.1.8.2.7.2.1.7.2.1</t>
  </si>
  <si>
    <t>epHrFolderAuthenticationPassword</t>
  </si>
  <si>
    <t>1.3.6.1.4.1.1248.1.8.2.7.2.1.8.2.1</t>
  </si>
  <si>
    <t>epHrFolderAccessProtocol</t>
  </si>
  <si>
    <t>1.3.6.1.4.1.1248.1.8.2.7.2.1.9.2.1</t>
  </si>
  <si>
    <t>epHrFolderFtpPort</t>
  </si>
  <si>
    <t>1.3.6.1.4.1.1248.1.8.2.7.2.1.10.2.1</t>
  </si>
  <si>
    <t>epHrFolderFtpPassiveModeEnable</t>
  </si>
  <si>
    <t>1.3.6.1.4.1.1248.1.8.2.7.2.1.11.2.1</t>
  </si>
  <si>
    <t>epHrFolderRegularAddress</t>
  </si>
  <si>
    <t>1.3.6.1.4.1.1248.1.8.2.7.2.1.12.2.1</t>
  </si>
  <si>
    <t>epHrFolderUsedFunction</t>
  </si>
  <si>
    <t>1.3.6.1.4.1.1248.1.8.2.7.2.1.13.2.1</t>
  </si>
  <si>
    <t>epHrFolderSecureConnectionEnable</t>
  </si>
  <si>
    <t>1.3.6.1.4.1.1248.1.8.2.7.2.1.14.2.1</t>
  </si>
  <si>
    <t>epHrFolderProxyEnable</t>
  </si>
  <si>
    <t>1.3.6.1.4.1.1248.1.8.2.7.2.1.15.2.1</t>
  </si>
  <si>
    <t>1.3.6.1.4.1.1248.1.8.2.7.2.1.16.2.1</t>
  </si>
  <si>
    <t>epHrAddrBookMngIntegrateSupport</t>
  </si>
  <si>
    <t>1.3.6.1.4.1.1248.1.8.2.8.1.1.1.2</t>
  </si>
  <si>
    <t>epHrAddrBookMngWebConfigImportURI</t>
  </si>
  <si>
    <t>1.3.6.1.4.1.1248.1.8.2.8.1.1.2.2</t>
  </si>
  <si>
    <t>epHrAddrBookMngWebConfigExportURI</t>
  </si>
  <si>
    <t>1.3.6.1.4.1.1248.1.8.2.8.1.1.3.2</t>
  </si>
  <si>
    <t>epHrUsageLimitEnable</t>
  </si>
  <si>
    <t>1.3.6.1.4.1.1248.1.8.2.10.1.1.1.2</t>
  </si>
  <si>
    <t>epHrUsageLimitUserNum</t>
  </si>
  <si>
    <t>1.3.6.1.4.1.1248.1.8.2.10.1.1.2.2</t>
  </si>
  <si>
    <t>epHrUsageLimitFunctionSupport</t>
  </si>
  <si>
    <t>1.3.6.1.4.1.1248.1.8.2.10.1.1.3.2</t>
  </si>
  <si>
    <t>epHrUsageLimitUnauthorizedDataPrintAndScanEnable</t>
  </si>
  <si>
    <t>1.3.6.1.4.1.1248.1.8.2.10.1.1.4.2</t>
  </si>
  <si>
    <t>epHrUsageLimitUserPasswordMaxSize</t>
  </si>
  <si>
    <t>1.3.6.1.4.1.1248.1.8.2.10.1.1.5.2</t>
  </si>
  <si>
    <t>epHrUsageLimitColorTypeSupport</t>
  </si>
  <si>
    <t>1.3.6.1.4.1.1248.1.8.2.10.1.1.6.2</t>
  </si>
  <si>
    <t>epHrUsageLimitPasswordPrintEnable</t>
  </si>
  <si>
    <t>1.3.6.1.4.1.1248.1.8.2.10.1.1.7.2</t>
  </si>
  <si>
    <t>epHrUsageLimitProhibitCancelOtherUserJobEnable</t>
  </si>
  <si>
    <t>1.3.6.1.4.1.1248.1.8.2.10.1.1.8.2</t>
  </si>
  <si>
    <t>epHrUsageLimitGuestUserEnableFuntion</t>
  </si>
  <si>
    <t>1.3.6.1.4.1.1248.1.8.2.10.1.1.10.2</t>
  </si>
  <si>
    <t>epHrUsageLimitGuestUserColorProhibitEnable</t>
  </si>
  <si>
    <t>1.3.6.1.4.1.1248.1.8.2.10.1.1.11.2</t>
  </si>
  <si>
    <t>epHrUsageLimitLogoutWithJobPurgeEnable</t>
  </si>
  <si>
    <t>1.3.6.1.4.1.1248.1.8.2.10.1.1.12.2</t>
  </si>
  <si>
    <t>epHrUsageLimitUserName</t>
  </si>
  <si>
    <t>1.3.6.1.4.1.1248.1.8.2.10.2.1.2.2.1</t>
  </si>
  <si>
    <t>epHrUsageLimitUserPassword</t>
  </si>
  <si>
    <t>1.3.6.1.4.1.1248.1.8.2.10.2.1.3.2.1</t>
  </si>
  <si>
    <t>epHrUsageLimitUserFunction</t>
  </si>
  <si>
    <t>1.3.6.1.4.1.1248.1.8.2.10.2.1.4.2.1</t>
  </si>
  <si>
    <t>epHrUsageLimitUserColorEnable</t>
  </si>
  <si>
    <t>1.3.6.1.4.1.1248.1.8.2.10.2.1.5.2.1</t>
  </si>
  <si>
    <t>epHrOpenPlatformVersion</t>
  </si>
  <si>
    <t>1.3.6.1.4.1.1248.1.8.2.11.1.1.1.1</t>
  </si>
  <si>
    <t>epHrOpenPlatformActivationProductKey</t>
  </si>
  <si>
    <t>1.3.6.1.4.1.1248.1.8.2.11.1.1.2.1</t>
  </si>
  <si>
    <t>epHrOpenPlatformVersionSelectableValue</t>
  </si>
  <si>
    <t>1.3.6.1.4.1.1248.1.8.2.11.2.1.2.1.1</t>
  </si>
  <si>
    <t>1.3.6.1.4.1.1248.1.8.2.11.3.1.1.2</t>
  </si>
  <si>
    <t>1.3.6.1.4.1.1248.1.8.2.11.3.1.2.2</t>
  </si>
  <si>
    <t>1.3.6.1.4.1.1248.1.8.2.11.3.1.3.2</t>
  </si>
  <si>
    <t>1.3.6.1.4.1.1248.1.8.2.11.3.1.4.2</t>
  </si>
  <si>
    <t>1.3.6.1.4.1.1248.1.8.2.11.3.1.5.2</t>
  </si>
  <si>
    <t>1.3.6.1.4.1.1248.1.8.2.11.4.1.2.2.1</t>
  </si>
  <si>
    <t>1.3.6.1.4.1.1248.1.8.2.11.4.1.3.2.1</t>
  </si>
  <si>
    <t>1.3.6.1.4.1.1248.1.8.2.11.4.1.4.2.1</t>
  </si>
  <si>
    <t>1.3.6.1.4.1.1248.1.8.2.11.4.1.5.2.1</t>
  </si>
  <si>
    <t>1.3.6.1.4.1.1248.1.8.2.11.4.1.6.2.1</t>
  </si>
  <si>
    <t>1.3.6.1.4.1.1248.1.8.2.11.4.1.7.2.1</t>
  </si>
  <si>
    <t>epHrGeneralMaintenanceFirstUsageTime</t>
  </si>
  <si>
    <t>1.3.6.1.4.1.1248.1.8.2.12.1.1.1.2</t>
  </si>
  <si>
    <t>epHrGeneralMaintenanceFirstTIReceiptTime</t>
  </si>
  <si>
    <t>1.3.6.1.4.1.1248.1.8.2.12.1.1.2.2</t>
  </si>
  <si>
    <t>epHrGeneralMaintenanceLastTIReceiptTime</t>
  </si>
  <si>
    <t>1.3.6.1.4.1.1248.1.8.2.12.1.1.3.2</t>
  </si>
  <si>
    <t>epHrGeneralMaintenancePowerOnMinTemperature</t>
  </si>
  <si>
    <t>1.3.6.1.4.1.1248.1.8.2.12.1.1.4.2</t>
  </si>
  <si>
    <t>epHrGeneralMaintenanceWakeupMaxTemperature</t>
  </si>
  <si>
    <t>1.3.6.1.4.1.1248.1.8.2.12.1.1.5.2</t>
  </si>
  <si>
    <t>epHrGeneralMaintenanceCurrentTemperature</t>
  </si>
  <si>
    <t>1.3.6.1.4.1.1248.1.8.2.12.1.1.6.2</t>
  </si>
  <si>
    <t>epHrGeneralMaintenanceCurrentHumidity</t>
  </si>
  <si>
    <t>1.3.6.1.4.1.1248.1.8.2.12.1.1.7.2</t>
  </si>
  <si>
    <t>epHrGeneralMaintenanceCurrentPressure</t>
  </si>
  <si>
    <t>1.3.6.1.4.1.1248.1.8.2.12.1.1.8.2</t>
  </si>
  <si>
    <t>epHrGeneralMaintenanceTotalEnergizationTime</t>
  </si>
  <si>
    <t>1.3.6.1.4.1.1248.1.8.2.12.1.1.9.2</t>
  </si>
  <si>
    <t>epHrSettingHistoryCommonIndexType</t>
  </si>
  <si>
    <t>1.3.6.1.4.1.1248.1.8.2.13.1.1.1.2</t>
  </si>
  <si>
    <t>epHrSettingHistoryCommonMaxSize</t>
  </si>
  <si>
    <t>1.3.6.1.4.1.1248.1.8.2.13.1.1.2.2</t>
  </si>
  <si>
    <t>epHrSettingHistoryType</t>
  </si>
  <si>
    <t>1.3.6.1.4.1.1248.1.8.2.13.2.1.2.2.1</t>
  </si>
  <si>
    <t>epHrSettingHistoryDescription</t>
  </si>
  <si>
    <t>1.3.6.1.4.1.1248.1.8.2.13.2.1.3.2.1</t>
  </si>
  <si>
    <t>epHrSettingHistoryTime</t>
  </si>
  <si>
    <t>1.3.6.1.4.1.1248.1.8.2.13.2.1.4.2.1</t>
  </si>
  <si>
    <t>epHrStatusHistoryCommonIndexType</t>
  </si>
  <si>
    <t>1.3.6.1.4.1.1248.1.8.2.14.1.1.2.2.1</t>
  </si>
  <si>
    <t>epHrStatusHistoryCommonMaxSize</t>
  </si>
  <si>
    <t>1.3.6.1.4.1.1248.1.8.2.14.1.1.3.2.1</t>
  </si>
  <si>
    <t>epHrStatusHistoryCommonType</t>
  </si>
  <si>
    <t>1.3.6.1.4.1.1248.1.8.2.14.1.1.4.2.1</t>
  </si>
  <si>
    <t>epHrStatusHistoryCommonCodeType</t>
  </si>
  <si>
    <t>1.3.6.1.4.1.1248.1.8.2.14.1.1.5.2.1</t>
  </si>
  <si>
    <t>epHrStatusHistoryCommonCountUnit</t>
  </si>
  <si>
    <t>1.3.6.1.4.1.1248.1.8.2.14.1.1.6.2.1</t>
  </si>
  <si>
    <t>epHrStatusHistoryCode</t>
  </si>
  <si>
    <t>1.3.6.1.4.1.1248.1.8.2.14.2.1.2.2.8.1</t>
  </si>
  <si>
    <t>epHrStatusHistoryTime</t>
  </si>
  <si>
    <t>1.3.6.1.4.1.1248.1.8.2.14.2.1.3.2.8.1</t>
  </si>
  <si>
    <t>epHrStatusHistoryCount</t>
  </si>
  <si>
    <t>1.3.6.1.4.1.1248.1.8.2.14.2.1.4.2.8.1</t>
  </si>
  <si>
    <t>epHrStatusHistoryTemperature</t>
  </si>
  <si>
    <t>1.3.6.1.4.1.1248.1.8.2.14.2.1.5.2.8.1</t>
  </si>
  <si>
    <t>epHrStatusHistoryHumidity</t>
  </si>
  <si>
    <t>1.3.6.1.4.1.1248.1.8.2.14.2.1.6.2.8.1</t>
  </si>
  <si>
    <t>epHrStatusHistoryLocationIndex</t>
  </si>
  <si>
    <t>1.3.6.1.4.1.1248.1.8.2.14.2.1.7.2.8.1</t>
  </si>
  <si>
    <t>epHrStatusHistorySubCode</t>
  </si>
  <si>
    <t>1.3.6.1.4.1.1248.1.8.2.14.2.1.8.2.8.1</t>
  </si>
  <si>
    <t>epHrStatusNotifyCommonMaxSize</t>
  </si>
  <si>
    <t>1.3.6.1.4.1.1248.1.8.2.14.3.1.2.2.1</t>
  </si>
  <si>
    <t>epHrStatusNotifyCommonType</t>
  </si>
  <si>
    <t>1.3.6.1.4.1.1248.1.8.2.14.3.1.3.2.1</t>
  </si>
  <si>
    <t>epHrStatusNotifyCommonCodeType</t>
  </si>
  <si>
    <t>1.3.6.1.4.1.1248.1.8.2.14.3.1.4.2.1</t>
  </si>
  <si>
    <t>epHrStatusNotifyCommonMaxOccurrenceSize</t>
  </si>
  <si>
    <t>1.3.6.1.4.1.1248.1.8.2.14.3.1.5.2.1</t>
  </si>
  <si>
    <t>epHrStatusNotifyCode</t>
  </si>
  <si>
    <t>1.3.6.1.4.1.1248.1.8.2.14.4.1.2.2.1.1</t>
  </si>
  <si>
    <t>epHrStatusNotifyOccurrenceCode</t>
  </si>
  <si>
    <t>1.3.6.1.4.1.1248.1.8.2.14.5.1.2.2.1.1</t>
  </si>
  <si>
    <t>epHrStatusNotifyOccurrenceCounter</t>
  </si>
  <si>
    <t>1.3.6.1.4.1.1248.1.8.2.14.5.1.3.2.1.1</t>
  </si>
  <si>
    <t>epHrStatusHistory2CommonIndexType</t>
  </si>
  <si>
    <t>1.3.6.1.4.1.1248.1.8.2.14.6.1.2.2.1</t>
  </si>
  <si>
    <t>epHrStatusHistory2CommonMaxSize</t>
  </si>
  <si>
    <t>1.3.6.1.4.1.1248.1.8.2.14.6.1.3.2.1</t>
  </si>
  <si>
    <t>epHrStatusHistory2CommonType</t>
  </si>
  <si>
    <t>1.3.6.1.4.1.1248.1.8.2.14.6.1.4.2.1</t>
  </si>
  <si>
    <t>epHrStatusHistory2CommonCodeType</t>
  </si>
  <si>
    <t>1.3.6.1.4.1.1248.1.8.2.14.6.1.5.2.1</t>
  </si>
  <si>
    <t>epHrStatusHistory2CommonCountUnit</t>
  </si>
  <si>
    <t>1.3.6.1.4.1.1248.1.8.2.14.6.1.6.2.1</t>
  </si>
  <si>
    <t>epHrStatusHistory2Code</t>
  </si>
  <si>
    <t>1.3.6.1.4.1.1248.1.8.2.14.7.1.2.2.1.1</t>
  </si>
  <si>
    <t>epHrStatusHistory2Time</t>
  </si>
  <si>
    <t>1.3.6.1.4.1.1248.1.8.2.14.7.1.3.2.1.1</t>
  </si>
  <si>
    <t>epHrStatusHistory2Count</t>
  </si>
  <si>
    <t>1.3.6.1.4.1.1248.1.8.2.14.7.1.4.2.1.1</t>
  </si>
  <si>
    <t>epHrStatusHistory2Temperature</t>
  </si>
  <si>
    <t>1.3.6.1.4.1.1248.1.8.2.14.7.1.5.2.1.1</t>
  </si>
  <si>
    <t>epHrStatusHistory2Humidity</t>
  </si>
  <si>
    <t>1.3.6.1.4.1.1248.1.8.2.14.7.1.6.2.1.1</t>
  </si>
  <si>
    <t>epHrStatusHistory2LocationIndex</t>
  </si>
  <si>
    <t>1.3.6.1.4.1.1248.1.8.2.14.7.1.7.2.1.1</t>
  </si>
  <si>
    <t>epHrStatusHistory2SubCode</t>
  </si>
  <si>
    <t>1.3.6.1.4.1.1248.1.8.2.14.7.1.8.2.1.1</t>
  </si>
  <si>
    <t>epHrConsoleDisplayMinBrightness</t>
  </si>
  <si>
    <t>1.3.6.1.4.1.1248.1.8.2.15.1.1.2.2.1</t>
  </si>
  <si>
    <t>epHrConsoleDisplayMaxBrightness</t>
  </si>
  <si>
    <t>1.3.6.1.4.1.1248.1.8.2.15.1.1.3.2.1</t>
  </si>
  <si>
    <t>epHrConsoleDisplayBrightness</t>
  </si>
  <si>
    <t>1.3.6.1.4.1.1248.1.8.2.15.1.1.4.2.1</t>
  </si>
  <si>
    <t>epHrStatsType</t>
  </si>
  <si>
    <t>1.3.6.1.4.1.1248.1.8.2.16.1.1.2.2.1</t>
  </si>
  <si>
    <t>epHrStatsCounter</t>
  </si>
  <si>
    <t>1.3.6.1.4.1.1248.1.8.2.16.1.1.3.2.1</t>
  </si>
  <si>
    <t>epHrStatsSettingType</t>
  </si>
  <si>
    <t>1.3.6.1.4.1.1248.1.8.2.16.2.1.2.2.1</t>
  </si>
  <si>
    <t>epHrStatsSettingValue</t>
  </si>
  <si>
    <t>1.3.6.1.4.1.1248.1.8.2.16.2.1.3.2.1</t>
  </si>
  <si>
    <t>epHrStatsUISupportGuidanceMaxSize</t>
  </si>
  <si>
    <t>1.3.6.1.4.1.1248.1.8.2.16.3.1.1.2</t>
  </si>
  <si>
    <t>epHrStatsTouchPanelSupportType</t>
  </si>
  <si>
    <t>1.3.6.1.4.1.1248.1.8.2.16.4.1.2.2.1</t>
  </si>
  <si>
    <t>epHrStatsTouchPanelSupportMaxSize</t>
  </si>
  <si>
    <t>1.3.6.1.4.1.1248.1.8.2.16.4.1.3.2.1</t>
  </si>
  <si>
    <t>epHrStatsTouchPanelCounter</t>
  </si>
  <si>
    <t>1.3.6.1.4.1.1248.1.8.2.16.5.1.2.2.1.1</t>
  </si>
  <si>
    <t>epHrStatsGuidanceType</t>
  </si>
  <si>
    <t>1.3.6.1.4.1.1248.1.8.2.16.6.1.2.2.1</t>
  </si>
  <si>
    <t>epHrStatsGuidanceDisplayCount</t>
  </si>
  <si>
    <t>1.3.6.1.4.1.1248.1.8.2.16.6.1.3.2.1</t>
  </si>
  <si>
    <t>epHrStatsGuidanceHistoryIndexType</t>
  </si>
  <si>
    <t>1.3.6.1.4.1.1248.1.8.2.16.6.1.4.2.1</t>
  </si>
  <si>
    <t>epHrStatsGuidanceHistoryMaxSize</t>
  </si>
  <si>
    <t>1.3.6.1.4.1.1248.1.8.2.16.6.1.5.2.1</t>
  </si>
  <si>
    <t>epHrStatsGuidanceHistoryDisplayTime</t>
  </si>
  <si>
    <t>1.3.6.1.4.1.1248.1.8.2.16.7.1.2.2.1.1</t>
  </si>
  <si>
    <t>1.3.6.1.4.1.1248.1.8.2.16.8.1.1.2.1</t>
  </si>
  <si>
    <t>1.3.6.1.4.1.1248.1.8.2.16.8.1.2.2.1</t>
  </si>
  <si>
    <t>1.3.6.1.4.1.1248.1.8.2.16.9.1.2.2.1</t>
  </si>
  <si>
    <t>1.3.6.1.4.1.1248.1.8.2.16.9.1.3.2.1</t>
  </si>
  <si>
    <t>1.3.6.1.4.1.1248.1.8.2.16.9.1.4.2.1</t>
  </si>
  <si>
    <t>epHrStatsIconSupportAddCounter</t>
  </si>
  <si>
    <t>1.3.6.1.4.1.1248.1.8.2.16.10.1.1.2</t>
  </si>
  <si>
    <t>epHrStatsIconSupportRemoveCounter</t>
  </si>
  <si>
    <t>1.3.6.1.4.1.1248.1.8.2.16.10.1.2.2</t>
  </si>
  <si>
    <t>epHrStatsIconSupportIconMaxSize</t>
  </si>
  <si>
    <t>1.3.6.1.4.1.1248.1.8.2.16.10.1.3.2</t>
  </si>
  <si>
    <t>epHrStatsIconSupportIconColorMaxSize</t>
  </si>
  <si>
    <t>1.3.6.1.4.1.1248.1.8.2.16.10.1.4.2</t>
  </si>
  <si>
    <t>epHrStatsIconCount</t>
  </si>
  <si>
    <t>1.3.6.1.4.1.1248.1.8.2.16.11.1.2.2.1</t>
  </si>
  <si>
    <t>epHrStatsIconColorCount</t>
  </si>
  <si>
    <t>1.3.6.1.4.1.1248.1.8.2.16.12.1.2.2.1</t>
  </si>
  <si>
    <t>epHrPeripheralType</t>
  </si>
  <si>
    <t>1.3.6.1.4.1.1248.1.8.2.17.1.1.2.2.1</t>
  </si>
  <si>
    <t>epHrPeripheralStatusCodeType</t>
  </si>
  <si>
    <t>1.3.6.1.4.1.1248.1.8.2.17.1.1.3.2.1</t>
  </si>
  <si>
    <t>epHrPeripheralStatusCode</t>
  </si>
  <si>
    <t>1.3.6.1.4.1.1248.1.8.2.17.1.1.4.2.1</t>
  </si>
  <si>
    <t>epHrPeripheralCounterUnit</t>
  </si>
  <si>
    <t>1.3.6.1.4.1.1248.1.8.2.17.1.1.5.2.1</t>
  </si>
  <si>
    <t>epHrPeripheralCount</t>
  </si>
  <si>
    <t>1.3.6.1.4.1.1248.1.8.2.17.1.1.6.2.1</t>
  </si>
  <si>
    <t>epHrStorageTmpDeleteEnable</t>
  </si>
  <si>
    <t>1.3.6.1.4.1.1248.1.8.2.18.1.1.1.2</t>
  </si>
  <si>
    <t>epHrPowerMgmtCtrlCommand</t>
  </si>
  <si>
    <t>1.3.6.1.4.1.1248.1.8.2.19.1.1.1.2.1</t>
  </si>
  <si>
    <t>epHrPowerMgmtCtrlCommandSetting</t>
  </si>
  <si>
    <t>1.3.6.1.4.1.1248.1.8.2.19.1.1.2.2.1</t>
  </si>
  <si>
    <t>epHrPowerMgmtCtrlCommandProcessTime</t>
  </si>
  <si>
    <t>1.3.6.1.4.1.1248.1.8.2.19.1.1.3.2.1</t>
  </si>
  <si>
    <t>epHrPowerMgmtCtrlCommandReturnTime</t>
  </si>
  <si>
    <t>1.3.6.1.4.1.1248.1.8.2.19.1.1.4.2.1</t>
  </si>
  <si>
    <t>epHrPowerMgmtLimitSNMPSupport</t>
  </si>
  <si>
    <t>1.3.6.1.4.1.1248.1.8.2.19.2.1.1.2</t>
  </si>
  <si>
    <t>1.3.6.1.4.1.1248.1.8.2.20.1.1.2.2.2.8</t>
  </si>
  <si>
    <t>1.3.6.1.4.1.1248.1.8.2.20.1.1.3.2.2.8</t>
  </si>
  <si>
    <t>1.3.6.1.4.1.1248.1.8.2.20.1.1.7.2.2.8</t>
  </si>
  <si>
    <t>1.3.6.1.4.1.1248.1.8.2.20.1.1.8.2.2.8</t>
  </si>
  <si>
    <t>epHrEmbeddedAgentSettingsType</t>
  </si>
  <si>
    <t>1.3.6.1.4.1.1248.1.8.2.21.1.1.2.2.1</t>
  </si>
  <si>
    <t>epHrEmbeddedAgentSettingsEnable</t>
  </si>
  <si>
    <t>1.3.6.1.4.1.1248.1.8.2.21.1.1.3.2.1</t>
  </si>
  <si>
    <t>1.3.6.1.4.1.1248.1.8.2.21.1.1.4.2.1</t>
  </si>
  <si>
    <t>epHrEmbeddedAgentSettingsMaxDestinationSize</t>
  </si>
  <si>
    <t>epHrEmbeddedAgentSettingsDestination</t>
  </si>
  <si>
    <t>epHrEmbeddedAgentSettingsScheduleTypeSupport</t>
  </si>
  <si>
    <t>1.3.6.1.4.1.1248.1.8.2.21.1.1.11.2.1</t>
  </si>
  <si>
    <t>epHrEmbeddedAgentSettingsScheduleType</t>
  </si>
  <si>
    <t>1.3.6.1.4.1.1248.1.8.2.21.1.1.12.2.1</t>
  </si>
  <si>
    <t>1.3.6.1.4.1.1248.1.8.2.21.1.1.13.2.1</t>
  </si>
  <si>
    <t>1.3.6.1.4.1.1248.1.8.2.21.1.1.14.2.1</t>
  </si>
  <si>
    <t>1.3.6.1.4.1.1248.1.8.2.21.1.1.15.2.1</t>
  </si>
  <si>
    <t>epHrEmbeddedAgentSettingsMinCollectionHourInterval</t>
  </si>
  <si>
    <t>1.3.6.1.4.1.1248.1.8.2.21.1.1.16.2.1</t>
  </si>
  <si>
    <t>1.3.6.1.4.1.1248.1.8.2.21.1.1.17.2.1</t>
  </si>
  <si>
    <t>1.3.6.1.4.1.1248.1.8.2.21.1.1.18.2.1</t>
  </si>
  <si>
    <t>1.3.6.1.4.1.1248.1.8.2.21.1.1.19.2.1</t>
  </si>
  <si>
    <t>1.3.6.1.4.1.1248.1.8.2.21.1.1.20.2.1</t>
  </si>
  <si>
    <t>epHrEmbeddedAgentSettingsMinSendStopConfirmMinuteInterval</t>
  </si>
  <si>
    <t>1.3.6.1.4.1.1248.1.8.2.21.1.1.21.2.1</t>
  </si>
  <si>
    <t>1.3.6.1.4.1.1248.1.8.2.21.1.1.22.2.1</t>
  </si>
  <si>
    <t>1.3.6.1.4.1.1248.1.8.2.21.1.1.23.2.1</t>
  </si>
  <si>
    <t>epHrEmbeddedAgentSettingsAgentKey</t>
  </si>
  <si>
    <t>epHrEmbeddedAgentSettingsSetupExecutionSetting</t>
  </si>
  <si>
    <t>epHrEmbeddedAgentSettingsMinSendRetryMinuteInterval</t>
  </si>
  <si>
    <t>epHrEmbeddedAgentSettingsMaxSendRetryMinuteInterval</t>
  </si>
  <si>
    <t>1.3.6.1.4.1.1248.1.8.2.21.1.1.32.2.1</t>
  </si>
  <si>
    <t>1.3.6.1.4.1.1248.1.8.2.21.1.1.33.2.1</t>
  </si>
  <si>
    <t>1.3.6.1.4.1.1248.1.8.2.21.1.1.34.2.1</t>
  </si>
  <si>
    <t>1.3.6.1.4.1.1248.1.8.2.22.1.1.1.1</t>
  </si>
  <si>
    <t>1.3.6.1.4.1.1248.1.8.2.22.1.1.2.1</t>
  </si>
  <si>
    <t>1.3.6.1.4.1.1248.1.8.2.22.2.1.2.1.1</t>
  </si>
  <si>
    <t>epHrSupportServiceType</t>
  </si>
  <si>
    <t>1.3.6.1.4.1.1248.1.8.2.23.1.1.2.2.1</t>
  </si>
  <si>
    <t>epHrNetworkInterfaceType</t>
  </si>
  <si>
    <t>1.3.6.1.4.1.1248.1.8.2.24.1.1.2.2.1</t>
  </si>
  <si>
    <t>epHrNetworkMacAddress</t>
  </si>
  <si>
    <t>1.3.6.1.4.1.1248.1.8.2.24.1.1.3.2.1</t>
  </si>
  <si>
    <t>epHrNetworkIpAddress</t>
  </si>
  <si>
    <t>1.3.6.1.4.1.1248.1.8.2.24.1.1.4.2.1</t>
  </si>
  <si>
    <t>epHrNetworkSubnetMask</t>
  </si>
  <si>
    <t>1.3.6.1.4.1.1248.1.8.2.24.1.1.5.2.1</t>
  </si>
  <si>
    <t>epHrNetworkGatewayAddress</t>
  </si>
  <si>
    <t>1.3.6.1.4.1.1248.1.8.2.24.1.1.6.2.1</t>
  </si>
  <si>
    <t>epHrNetworkDomainName</t>
  </si>
  <si>
    <t>1.3.6.1.4.1.1248.1.8.2.24.1.1.7.2.1</t>
  </si>
  <si>
    <t>epHrNetworkDNServer1Address</t>
  </si>
  <si>
    <t>1.3.6.1.4.1.1248.1.8.2.24.1.1.8.2.1</t>
  </si>
  <si>
    <t>1.3.6.1.4.1.1248.1.8.2.24.1.1.9.2.1</t>
  </si>
  <si>
    <t>1.3.6.1.4.1.1248.1.8.2.25.1.1.1.2</t>
  </si>
  <si>
    <t>1.3.6.1.4.1.1248.1.8.2.25.1.1.2.2</t>
  </si>
  <si>
    <t>epHrBoxCommonWebConfigUsagePermissions</t>
  </si>
  <si>
    <t>1.3.6.1.4.1.1248.1.8.2.25.1.1.3.2</t>
  </si>
  <si>
    <t>1.3.6.1.4.1.1248.1.8.2.25.2.1.1.2</t>
  </si>
  <si>
    <t>1.3.6.1.4.1.1248.1.8.2.25.2.1.2.2</t>
  </si>
  <si>
    <t>1.3.6.1.4.1.1248.1.8.2.25.2.1.3.2</t>
  </si>
  <si>
    <t>1.3.6.1.4.1.1248.1.8.2.25.2.1.4.2</t>
  </si>
  <si>
    <t>1.3.6.1.4.1.1248.1.8.2.25.2.1.5.2</t>
  </si>
  <si>
    <t>1.3.6.1.4.1.1248.1.8.2.25.2.1.6.2</t>
  </si>
  <si>
    <t>1.3.6.1.4.1.1248.1.8.2.25.2.1.7.2</t>
  </si>
  <si>
    <t>1.3.6.1.4.1.1248.1.8.2.25.2.1.8.2</t>
  </si>
  <si>
    <t>1.3.6.1.4.1.1248.1.8.2.25.2.1.9.2</t>
  </si>
  <si>
    <t>1.3.6.1.4.1.1248.1.8.2.25.2.1.10.2</t>
  </si>
  <si>
    <t>epHrBoxSharedCommonMaxSize</t>
  </si>
  <si>
    <t>1.3.6.1.4.1.1248.1.8.2.25.2.1.11.2</t>
  </si>
  <si>
    <t>epHrBoxSharedName</t>
  </si>
  <si>
    <t>1.3.6.1.4.1.1248.1.8.2.25.3.1.2.2.1</t>
  </si>
  <si>
    <t>1.3.6.1.4.1.1248.1.8.2.25.4.1.1.2</t>
  </si>
  <si>
    <t>1.3.6.1.4.1.1248.1.8.2.25.4.1.2.2</t>
  </si>
  <si>
    <t>1.3.6.1.4.1.1248.1.8.2.25.4.1.3.2</t>
  </si>
  <si>
    <t>1.3.6.1.4.1.1248.1.8.2.25.4.1.4.2</t>
  </si>
  <si>
    <t>1.3.6.1.4.1.1248.1.8.2.25.4.1.5.2</t>
  </si>
  <si>
    <t>1.3.6.1.4.1.1248.1.8.2.25.4.1.6.2</t>
  </si>
  <si>
    <t>1.3.6.1.4.1.1248.1.8.2.25.4.1.7.2</t>
  </si>
  <si>
    <t>FWVersion</t>
  </si>
  <si>
    <t>仕向け先</t>
    <rPh sb="0" eb="2">
      <t>シム</t>
    </rPh>
    <phoneticPr fontId="2"/>
  </si>
  <si>
    <t>F</t>
    <phoneticPr fontId="2"/>
  </si>
  <si>
    <t>K</t>
    <phoneticPr fontId="2"/>
  </si>
  <si>
    <t>U</t>
    <phoneticPr fontId="2"/>
  </si>
  <si>
    <t>Table別評価結果</t>
  </si>
  <si>
    <t>項目数</t>
  </si>
  <si>
    <t>実施数</t>
  </si>
  <si>
    <t>合格数</t>
  </si>
  <si>
    <t>NG数</t>
    <rPh sb="2" eb="3">
      <t>スウ</t>
    </rPh>
    <phoneticPr fontId="2"/>
  </si>
  <si>
    <t>シート名</t>
    <rPh sb="3" eb="4">
      <t>メイ</t>
    </rPh>
    <phoneticPr fontId="2"/>
  </si>
  <si>
    <t>範囲</t>
  </si>
  <si>
    <t>評価除外</t>
  </si>
  <si>
    <t>結果</t>
    <rPh sb="0" eb="2">
      <t>ケッカ</t>
    </rPh>
    <phoneticPr fontId="2"/>
  </si>
  <si>
    <t>手動</t>
    <rPh sb="0" eb="2">
      <t>シュドウ</t>
    </rPh>
    <phoneticPr fontId="2"/>
  </si>
  <si>
    <t>範囲(始まり)</t>
    <rPh sb="0" eb="2">
      <t>ハンイ</t>
    </rPh>
    <rPh sb="3" eb="4">
      <t>ハジ</t>
    </rPh>
    <phoneticPr fontId="2"/>
  </si>
  <si>
    <t>範囲(終わり)</t>
    <rPh sb="3" eb="4">
      <t>オ</t>
    </rPh>
    <phoneticPr fontId="2"/>
  </si>
  <si>
    <t>Host Resources MIB</t>
  </si>
  <si>
    <t>hrNetworkTable</t>
    <phoneticPr fontId="2"/>
  </si>
  <si>
    <t>hrDiskStorageTable</t>
    <phoneticPr fontId="2"/>
  </si>
  <si>
    <t>hrPartitionTable</t>
    <phoneticPr fontId="2"/>
  </si>
  <si>
    <t>hrFSTable</t>
    <phoneticPr fontId="2"/>
  </si>
  <si>
    <t>Printer MIB</t>
  </si>
  <si>
    <t>prtStorageRefTable</t>
  </si>
  <si>
    <t>prtDeviceRefTable</t>
  </si>
  <si>
    <t>prtMarkerTable</t>
  </si>
  <si>
    <t>prtMediaPathTable</t>
  </si>
  <si>
    <t>prtConsoleDisplayBufferTable</t>
  </si>
  <si>
    <t>prtConsoleLightTable</t>
  </si>
  <si>
    <t>finSupplyTable</t>
  </si>
  <si>
    <t>finSupplyMediaInputTable</t>
    <phoneticPr fontId="2"/>
  </si>
  <si>
    <t>Job Monitoring MIB</t>
    <phoneticPr fontId="2"/>
  </si>
  <si>
    <t>jmGeneralTable</t>
  </si>
  <si>
    <t>jmJobIDTable</t>
  </si>
  <si>
    <t>jmJobTable</t>
  </si>
  <si>
    <t>jmAttributeTable</t>
  </si>
  <si>
    <t>Printer Private MIB</t>
  </si>
  <si>
    <t>epPrtVersionTable</t>
  </si>
  <si>
    <t>epPrtCommonSettingsTable</t>
  </si>
  <si>
    <t>epPrtStandby1Table</t>
  </si>
  <si>
    <t>epPrtAutoShutdownTable</t>
  </si>
  <si>
    <t>epPrtAutoShutdownTimeoutTable</t>
  </si>
  <si>
    <t>epPrtSerialIfSettingsTable</t>
  </si>
  <si>
    <t>epPrtGeneralSettingsTable</t>
  </si>
  <si>
    <t>epPrtPaperSize2Table</t>
    <phoneticPr fontId="2"/>
  </si>
  <si>
    <t>epPrtPresetMediaDimSupportTable</t>
  </si>
  <si>
    <t>epPrtPaperSize2LandscapeTable</t>
  </si>
  <si>
    <t>epPrtPaperTypesTable</t>
  </si>
  <si>
    <t>epPrtInputTable</t>
    <phoneticPr fontId="2"/>
  </si>
  <si>
    <t>epPrtInputSelectablePaperTypeTable</t>
    <phoneticPr fontId="2"/>
  </si>
  <si>
    <t>epPrtInputMediaDimSettingTable</t>
  </si>
  <si>
    <t>epPrtInputFuncAutoSelectTable</t>
  </si>
  <si>
    <t>epPrtInputPaperSizeTable</t>
  </si>
  <si>
    <t>epPrtOutputExtTable</t>
    <phoneticPr fontId="2"/>
  </si>
  <si>
    <t>epPrtOutputFuncTable</t>
  </si>
  <si>
    <t>epPrtFinisherTable</t>
  </si>
  <si>
    <t>epPrtFinisherDeviceTable</t>
  </si>
  <si>
    <t>epPrtMarkerTable</t>
  </si>
  <si>
    <t>epPrtMarkerTotalPrintedPerDutyTable</t>
  </si>
  <si>
    <t>epPrtMarkerLifeCounterTable</t>
  </si>
  <si>
    <t>epPrtMarkerLifeCounterExtTable</t>
  </si>
  <si>
    <t>epPrtMarkerTermPrintedTable</t>
  </si>
  <si>
    <t>epPrtMarkerPrintJobHistoryTable</t>
  </si>
  <si>
    <t>epPrtMarkerTotalPrintedPerPaperTable</t>
  </si>
  <si>
    <t>epPrtMarkerDailyPrintedHistoryTable</t>
  </si>
  <si>
    <t>epPrtMarkerMonthlyPrintedHistoryTable</t>
  </si>
  <si>
    <t>epPrtMarkerTotalPrintedPerNumOfCopyTable</t>
  </si>
  <si>
    <t>epPrtHaventMarkerSuppliesTable</t>
  </si>
  <si>
    <t>epPrtHaventMarkerSuppliesServiceTable</t>
  </si>
  <si>
    <t>epPrtMarkerSuppliesCartridgeSupportTable</t>
  </si>
  <si>
    <t>epPrtMarkerSuppliesCartridgeHistoryTable</t>
  </si>
  <si>
    <t>epPrtErrorJamHistoryCommonTable</t>
  </si>
  <si>
    <t>epPrtErrorJamPathTable</t>
  </si>
  <si>
    <t>epPrtMarkerColorCoverageTable</t>
    <phoneticPr fontId="2"/>
  </si>
  <si>
    <t>epPrtMarkerColorCoverageTypeTable</t>
  </si>
  <si>
    <t>epPrtPaperMemoryTable</t>
  </si>
  <si>
    <t>epPrtMarkerPartsTable</t>
  </si>
  <si>
    <t>epPrtFinisherSuppliesTable</t>
  </si>
  <si>
    <t>epPrtJobPaperSuppliesTable</t>
  </si>
  <si>
    <t>epPrtJobAlertTable</t>
  </si>
  <si>
    <t>epPrtD4EpsonCtrlChTable</t>
  </si>
  <si>
    <t>epPrtConsumableSupplyUsageColorTable</t>
  </si>
  <si>
    <t>epPrtConsumableSupplyColorSizeTable</t>
  </si>
  <si>
    <t>epPrtCleaningHistoryCommonTable</t>
  </si>
  <si>
    <t>epPrtCleaningHistoryTable</t>
  </si>
  <si>
    <t>epPrtCleaningTable</t>
  </si>
  <si>
    <t>epPrtCleaningTypeTable</t>
  </si>
  <si>
    <t>epPrtCleaningDailyHistoryTable</t>
  </si>
  <si>
    <t>epPrtFolderPrintTable</t>
  </si>
  <si>
    <t>epPrtFolderPrintAddressTable</t>
  </si>
  <si>
    <t>epPrtUploadPrintTable</t>
  </si>
  <si>
    <t>epPrtStatsCommonTable</t>
  </si>
  <si>
    <t>epPrtManualStaplerTable</t>
  </si>
  <si>
    <t>Job Private MIB</t>
    <phoneticPr fontId="2"/>
  </si>
  <si>
    <t>epJpJobTrapTable</t>
  </si>
  <si>
    <t>epJpJobTable</t>
  </si>
  <si>
    <t>epJpAttributeTable</t>
  </si>
  <si>
    <t>epJpJobLicenseTable</t>
  </si>
  <si>
    <t>Scanner Private MIB</t>
  </si>
  <si>
    <t>epScnGeneralTable</t>
  </si>
  <si>
    <t>epScnVersionTable</t>
  </si>
  <si>
    <t>epScnOptionTable</t>
  </si>
  <si>
    <t>epScnInputPaperSizeTable</t>
  </si>
  <si>
    <t>epScnInputFunctionPaperSizeTable</t>
  </si>
  <si>
    <t>epScnScanTotalScannedPerNumOfScansTable</t>
  </si>
  <si>
    <t>epScnScanPaperSizeRangeSupportTable</t>
  </si>
  <si>
    <t>epScnScanPaperSizeRangeTable</t>
  </si>
  <si>
    <t>epScnScanPaperTypeTable</t>
  </si>
  <si>
    <t>epScnScanToMailTable</t>
  </si>
  <si>
    <t>epScnScanToMailMaxFileSizeSelectableTable</t>
    <phoneticPr fontId="2"/>
  </si>
  <si>
    <t>epScnScanToFolderUserSupportTable</t>
  </si>
  <si>
    <t>epScnScanToFolderUserSettingTable</t>
  </si>
  <si>
    <t>epScnAlertTable</t>
  </si>
  <si>
    <t>epScnScanToSupportTable</t>
  </si>
  <si>
    <t>epScnScanToSettingTable</t>
  </si>
  <si>
    <t>epScnScanAreaTable</t>
  </si>
  <si>
    <t>epScnPresetAreaDimSupportTable</t>
  </si>
  <si>
    <t>epScnPresetAreaDimUnitSupportTable</t>
  </si>
  <si>
    <t>epScnPresetAreaDimSettingTable</t>
  </si>
  <si>
    <t>epScnCommonSettingsTable</t>
  </si>
  <si>
    <t>epScnDCPSSettingsTable</t>
  </si>
  <si>
    <t>Host Resources Private MIB</t>
  </si>
  <si>
    <t>epHrDeviceRefTable</t>
  </si>
  <si>
    <t>epHrLocalizationTable</t>
  </si>
  <si>
    <t>epHrCommonSettingTable</t>
  </si>
  <si>
    <t>epHrCommonVolumeTable</t>
  </si>
  <si>
    <t>epHrSilentModeVolumeTable</t>
  </si>
  <si>
    <t>epHrAuthTable</t>
  </si>
  <si>
    <t>epHrMailAddressTable</t>
  </si>
  <si>
    <t>epHrMailGroupTable</t>
  </si>
  <si>
    <t>epHrMailAddrAndGroupTable</t>
  </si>
  <si>
    <t>epHrMailAddrSettingTable</t>
  </si>
  <si>
    <t>epHrFolderSettingTable</t>
  </si>
  <si>
    <t>epHrFolderAddressTable</t>
  </si>
  <si>
    <t>epHrUsageLimitSettingTable</t>
  </si>
  <si>
    <t>epHrUsageLimitUserTable</t>
  </si>
  <si>
    <t>epHrSettingHistoryCommonTable</t>
  </si>
  <si>
    <t>epHrSettingHistoryTable</t>
  </si>
  <si>
    <t>epHrStatusHistoryCommonTable</t>
  </si>
  <si>
    <t>epHrStatusHistoryTable</t>
  </si>
  <si>
    <t>epHrStatusNotifyCommonTable</t>
  </si>
  <si>
    <t>epHrStatusNotifyTable</t>
  </si>
  <si>
    <t>epHrStatusNotifyOccurrenceTable</t>
  </si>
  <si>
    <t>epHrStatusHistory2CommonTable</t>
  </si>
  <si>
    <t>epHrStatusHistory2Table</t>
  </si>
  <si>
    <t>epHrConsoleDisplayTable</t>
  </si>
  <si>
    <t>epHrStatsTable</t>
  </si>
  <si>
    <t>epHrStatsSettingTable</t>
  </si>
  <si>
    <t>epHrStatsUISupportTable</t>
  </si>
  <si>
    <t>epHrStatsTouchPanelSupportTable</t>
  </si>
  <si>
    <t>epHrStatsTouchPanelTable</t>
  </si>
  <si>
    <t>epHrStatsGuidanceTable</t>
  </si>
  <si>
    <t>epHrStatsGuidanceHistoryTable</t>
  </si>
  <si>
    <t>epHrStatsHistoryComTable</t>
  </si>
  <si>
    <t>epHrStatsDailyHistoryTable</t>
  </si>
  <si>
    <t>epHrStatsIconSupportTable</t>
  </si>
  <si>
    <t>epHrStatsIconTable</t>
  </si>
  <si>
    <t>epHrStatsIconColorTable</t>
  </si>
  <si>
    <t>epHrPeripheralTable</t>
  </si>
  <si>
    <t>epHrStorageTable</t>
  </si>
  <si>
    <t>epHrPowerMgmtCtrlTable</t>
  </si>
  <si>
    <t>epHrAlertTable</t>
  </si>
  <si>
    <t>epHrEmbeddedAgentSettingsTable</t>
  </si>
  <si>
    <t>epHrEmbeddedAgentAdminTable</t>
  </si>
  <si>
    <t>epHrNetworkTable</t>
  </si>
  <si>
    <t>epHrBoxCommonTable</t>
  </si>
  <si>
    <t>epHrBoxSharedTable</t>
    <phoneticPr fontId="2"/>
  </si>
  <si>
    <t>T</t>
    <phoneticPr fontId="2"/>
  </si>
  <si>
    <t>epHrAddrBookMngIntegrateSupportTable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</si>
</sst>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¥&quot;#,##0;[Red]&quot;¥&quot;\-#,##0"/>
    <numFmt numFmtId="165" formatCode="&quot;¥&quot;#,##0.00;[Red]&quot;¥&quot;\-#,##0.00"/>
  </numFmts>
  <fonts count="29">
    <font>
      <sz val="11"/>
      <name val="ＭＳ Ｐゴシック"/>
      <family val="3"/>
      <charset val="128"/>
    </font>
    <font>
      <sz val="11"/>
      <color theme="1"/>
      <name val="Calibri"/>
      <family val="2"/>
      <charset val="128"/>
      <scheme val="minor"/>
    </font>
    <font>
      <sz val="6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1"/>
      <color theme="10"/>
      <name val="ＭＳ Ｐゴシック"/>
      <family val="3"/>
      <charset val="128"/>
    </font>
    <font>
      <sz val="9"/>
      <name val="メイリオ"/>
      <family val="3"/>
      <charset val="128"/>
    </font>
    <font>
      <sz val="6"/>
      <name val="Calibri"/>
      <family val="3"/>
      <charset val="128"/>
      <scheme val="minor"/>
    </font>
    <font>
      <u/>
      <sz val="11"/>
      <color theme="11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1"/>
      <color theme="1"/>
      <name val="MeiryoKe_Console"/>
      <family val="3"/>
      <charset val="128"/>
    </font>
    <font>
      <sz val="9"/>
      <color theme="1"/>
      <name val="MeiryoKe_Console"/>
      <family val="3"/>
      <charset val="128"/>
    </font>
    <font>
      <b/>
      <sz val="11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0" borderId="1" applyNumberFormat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3" fillId="22" borderId="2" applyNumberFormat="0" applyFont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10" fillId="23" borderId="4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8" applyNumberFormat="0" applyFill="0" applyAlignment="0" applyProtection="0">
      <alignment vertical="center"/>
    </xf>
    <xf numFmtId="0" fontId="16" fillId="23" borderId="9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4" applyNumberFormat="0" applyAlignment="0" applyProtection="0">
      <alignment vertical="center"/>
    </xf>
    <xf numFmtId="0" fontId="19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40" fontId="20" fillId="0" borderId="0" applyFont="0" applyFill="0" applyBorder="0" applyAlignment="0" applyProtection="0">
      <alignment vertical="center"/>
    </xf>
    <xf numFmtId="38" fontId="20" fillId="0" borderId="0" applyFont="0" applyFill="0" applyBorder="0" applyAlignment="0" applyProtection="0">
      <alignment vertical="center"/>
    </xf>
    <xf numFmtId="165" fontId="20" fillId="0" borderId="0" applyFont="0" applyFill="0" applyBorder="0" applyAlignment="0" applyProtection="0">
      <alignment vertical="center"/>
    </xf>
    <xf numFmtId="164" fontId="20" fillId="0" borderId="0" applyFont="0" applyFill="0" applyBorder="0" applyAlignment="0" applyProtection="0">
      <alignment vertical="center"/>
    </xf>
    <xf numFmtId="9" fontId="20" fillId="0" borderId="0" applyFont="0" applyFill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0" borderId="1" applyNumberFormat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3" fillId="22" borderId="2" applyNumberFormat="0" applyFont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10" fillId="23" borderId="4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8" applyNumberFormat="0" applyFill="0" applyAlignment="0" applyProtection="0">
      <alignment vertical="center"/>
    </xf>
    <xf numFmtId="0" fontId="16" fillId="23" borderId="9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4" applyNumberFormat="0" applyAlignment="0" applyProtection="0">
      <alignment vertical="center"/>
    </xf>
    <xf numFmtId="0" fontId="19" fillId="4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/>
    <xf numFmtId="0" fontId="1" fillId="0" borderId="0">
      <alignment vertical="center"/>
    </xf>
  </cellStyleXfs>
  <cellXfs count="10">
    <xf numFmtId="0" fontId="0" fillId="0" borderId="0" xfId="0">
      <alignment vertical="center"/>
    </xf>
    <xf numFmtId="0" fontId="22" fillId="0" borderId="0" xfId="0" applyFont="1" applyAlignment="1">
      <alignment horizontal="left" vertical="center"/>
    </xf>
    <xf numFmtId="0" fontId="22" fillId="0" borderId="0" xfId="0" applyFont="1">
      <alignment vertical="center"/>
    </xf>
    <xf numFmtId="0" fontId="26" fillId="25" borderId="0" xfId="92" applyFont="1" applyFill="1"/>
    <xf numFmtId="0" fontId="27" fillId="25" borderId="0" xfId="92" applyFont="1" applyFill="1"/>
    <xf numFmtId="0" fontId="27" fillId="25" borderId="10" xfId="92" applyFont="1" applyFill="1" applyBorder="1"/>
    <xf numFmtId="0" fontId="22" fillId="0" borderId="0" xfId="0" quotePrefix="1" applyFont="1" applyAlignment="1">
      <alignment horizontal="left" vertical="center"/>
    </xf>
    <xf numFmtId="0" fontId="22" fillId="0" borderId="0" xfId="0" applyFont="1" applyAlignment="1">
      <alignment horizontal="right" vertical="center"/>
    </xf>
    <xf numFmtId="9" fontId="22" fillId="0" borderId="0" xfId="0" applyNumberFormat="1" applyFont="1">
      <alignment vertical="center"/>
    </xf>
    <xf numFmtId="0" fontId="22" fillId="24" borderId="0" xfId="0" applyFont="1" applyFill="1">
      <alignment vertical="center"/>
    </xf>
  </cellXfs>
  <cellStyles count="94">
    <cellStyle name="20% - Accent1" xfId="1" builtinId="30" hidden="1" customBuiltin="1"/>
    <cellStyle name="20% - Accent1" xfId="49" builtinId="30" hidden="1" customBuiltin="1"/>
    <cellStyle name="20% - Accent2" xfId="2" builtinId="34" hidden="1" customBuiltin="1"/>
    <cellStyle name="20% - Accent2" xfId="50" builtinId="34" hidden="1" customBuiltin="1"/>
    <cellStyle name="20% - Accent3" xfId="3" builtinId="38" hidden="1" customBuiltin="1"/>
    <cellStyle name="20% - Accent3" xfId="51" builtinId="38" hidden="1" customBuiltin="1"/>
    <cellStyle name="20% - Accent4" xfId="4" builtinId="42" hidden="1" customBuiltin="1"/>
    <cellStyle name="20% - Accent4" xfId="52" builtinId="42" hidden="1" customBuiltin="1"/>
    <cellStyle name="20% - Accent5" xfId="5" builtinId="46" hidden="1" customBuiltin="1"/>
    <cellStyle name="20% - Accent5" xfId="53" builtinId="46" hidden="1" customBuiltin="1"/>
    <cellStyle name="20% - Accent6" xfId="6" builtinId="50" hidden="1" customBuiltin="1"/>
    <cellStyle name="20% - Accent6" xfId="54" builtinId="50" hidden="1" customBuiltin="1"/>
    <cellStyle name="40% - Accent1" xfId="7" builtinId="31" hidden="1" customBuiltin="1"/>
    <cellStyle name="40% - Accent1" xfId="55" builtinId="31" hidden="1" customBuiltin="1"/>
    <cellStyle name="40% - Accent2" xfId="8" builtinId="35" hidden="1" customBuiltin="1"/>
    <cellStyle name="40% - Accent2" xfId="56" builtinId="35" hidden="1" customBuiltin="1"/>
    <cellStyle name="40% - Accent3" xfId="9" builtinId="39" hidden="1" customBuiltin="1"/>
    <cellStyle name="40% - Accent3" xfId="57" builtinId="39" hidden="1" customBuiltin="1"/>
    <cellStyle name="40% - Accent4" xfId="10" builtinId="43" hidden="1" customBuiltin="1"/>
    <cellStyle name="40% - Accent4" xfId="58" builtinId="43" hidden="1" customBuiltin="1"/>
    <cellStyle name="40% - Accent5" xfId="11" builtinId="47" hidden="1" customBuiltin="1"/>
    <cellStyle name="40% - Accent5" xfId="59" builtinId="47" hidden="1" customBuiltin="1"/>
    <cellStyle name="40% - Accent6" xfId="12" builtinId="51" hidden="1" customBuiltin="1"/>
    <cellStyle name="40% - Accent6" xfId="60" builtinId="51" hidden="1" customBuiltin="1"/>
    <cellStyle name="60% - Accent1" xfId="13" builtinId="32" hidden="1" customBuiltin="1"/>
    <cellStyle name="60% - Accent1" xfId="61" builtinId="32" hidden="1" customBuiltin="1"/>
    <cellStyle name="60% - Accent2" xfId="14" builtinId="36" hidden="1" customBuiltin="1"/>
    <cellStyle name="60% - Accent2" xfId="62" builtinId="36" hidden="1" customBuiltin="1"/>
    <cellStyle name="60% - Accent3" xfId="15" builtinId="40" hidden="1" customBuiltin="1"/>
    <cellStyle name="60% - Accent3" xfId="63" builtinId="40" hidden="1" customBuiltin="1"/>
    <cellStyle name="60% - Accent4" xfId="16" builtinId="44" hidden="1" customBuiltin="1"/>
    <cellStyle name="60% - Accent4" xfId="64" builtinId="44" hidden="1" customBuiltin="1"/>
    <cellStyle name="60% - Accent5" xfId="17" builtinId="48" hidden="1" customBuiltin="1"/>
    <cellStyle name="60% - Accent5" xfId="65" builtinId="48" hidden="1" customBuiltin="1"/>
    <cellStyle name="60% - Accent6" xfId="18" builtinId="52" hidden="1" customBuiltin="1"/>
    <cellStyle name="60% - Accent6" xfId="66" builtinId="52" hidden="1" customBuiltin="1"/>
    <cellStyle name="Accent1" xfId="19" builtinId="29" hidden="1" customBuiltin="1"/>
    <cellStyle name="Accent1" xfId="67" builtinId="29" hidden="1" customBuiltin="1"/>
    <cellStyle name="Accent2" xfId="20" builtinId="33" hidden="1" customBuiltin="1"/>
    <cellStyle name="Accent2" xfId="68" builtinId="33" hidden="1" customBuiltin="1"/>
    <cellStyle name="Accent3" xfId="21" builtinId="37" hidden="1" customBuiltin="1"/>
    <cellStyle name="Accent3" xfId="69" builtinId="37" hidden="1" customBuiltin="1"/>
    <cellStyle name="Accent4" xfId="22" builtinId="41" hidden="1" customBuiltin="1"/>
    <cellStyle name="Accent4" xfId="70" builtinId="41" hidden="1" customBuiltin="1"/>
    <cellStyle name="Accent5" xfId="23" builtinId="45" hidden="1" customBuiltin="1"/>
    <cellStyle name="Accent5" xfId="71" builtinId="45" hidden="1" customBuiltin="1"/>
    <cellStyle name="Accent6" xfId="24" builtinId="49" hidden="1" customBuiltin="1"/>
    <cellStyle name="Accent6" xfId="72" builtinId="49" hidden="1" customBuiltin="1"/>
    <cellStyle name="Bad" xfId="30" builtinId="27" hidden="1" customBuiltin="1"/>
    <cellStyle name="Bad" xfId="78" builtinId="27" hidden="1" customBuiltin="1"/>
    <cellStyle name="Calculation" xfId="31" builtinId="22" hidden="1" customBuiltin="1"/>
    <cellStyle name="Calculation" xfId="79" builtinId="22" hidden="1" customBuiltin="1"/>
    <cellStyle name="Check Cell" xfId="26" builtinId="23" hidden="1" customBuiltin="1"/>
    <cellStyle name="Check Cell" xfId="74" builtinId="23" hidden="1" customBuiltin="1"/>
    <cellStyle name="Comma" xfId="44" builtinId="3" hidden="1"/>
    <cellStyle name="Comma [0]" xfId="45" builtinId="6" hidden="1"/>
    <cellStyle name="Currency" xfId="46" builtinId="4" hidden="1"/>
    <cellStyle name="Currency [0]" xfId="47" builtinId="7" hidden="1"/>
    <cellStyle name="Explanatory Text" xfId="39" builtinId="53" hidden="1" customBuiltin="1"/>
    <cellStyle name="Explanatory Text" xfId="87" builtinId="53" hidden="1" customBuiltin="1"/>
    <cellStyle name="Followed Hyperlink" xfId="91" builtinId="9" hidden="1"/>
    <cellStyle name="Good" xfId="41" builtinId="26" hidden="1" customBuiltin="1"/>
    <cellStyle name="Good" xfId="89" builtinId="26" hidden="1" customBuiltin="1"/>
    <cellStyle name="Heading 1" xfId="33" builtinId="16" hidden="1" customBuiltin="1"/>
    <cellStyle name="Heading 1" xfId="81" builtinId="16" hidden="1" customBuiltin="1"/>
    <cellStyle name="Heading 2" xfId="34" builtinId="17" hidden="1" customBuiltin="1"/>
    <cellStyle name="Heading 2" xfId="82" builtinId="17" hidden="1" customBuiltin="1"/>
    <cellStyle name="Heading 3" xfId="35" builtinId="18" hidden="1" customBuiltin="1"/>
    <cellStyle name="Heading 3" xfId="83" builtinId="18" hidden="1" customBuiltin="1"/>
    <cellStyle name="Heading 4" xfId="36" builtinId="19" hidden="1" customBuiltin="1"/>
    <cellStyle name="Heading 4" xfId="84" builtinId="19" hidden="1" customBuiltin="1"/>
    <cellStyle name="Hyperlink" xfId="42" builtinId="8" hidden="1"/>
    <cellStyle name="Hyperlink" xfId="43" builtinId="8" hidden="1"/>
    <cellStyle name="Hyperlink" xfId="90" builtinId="8" hidden="1"/>
    <cellStyle name="Input" xfId="40" builtinId="20" hidden="1" customBuiltin="1"/>
    <cellStyle name="Input" xfId="88" builtinId="20" hidden="1" customBuiltin="1"/>
    <cellStyle name="Linked Cell" xfId="29" builtinId="24" hidden="1" customBuiltin="1"/>
    <cellStyle name="Linked Cell" xfId="77" builtinId="24" hidden="1" customBuiltin="1"/>
    <cellStyle name="Neutral" xfId="27" builtinId="28" hidden="1" customBuiltin="1"/>
    <cellStyle name="Neutral" xfId="75" builtinId="28" hidden="1" customBuiltin="1"/>
    <cellStyle name="Normal" xfId="0" builtinId="0"/>
    <cellStyle name="Note" xfId="28" builtinId="10" hidden="1" customBuiltin="1"/>
    <cellStyle name="Note" xfId="76" builtinId="10" hidden="1" customBuiltin="1"/>
    <cellStyle name="Output" xfId="38" builtinId="21" hidden="1" customBuiltin="1"/>
    <cellStyle name="Output" xfId="86" builtinId="21" hidden="1" customBuiltin="1"/>
    <cellStyle name="Percent" xfId="48" builtinId="5" hidden="1"/>
    <cellStyle name="Title" xfId="25" builtinId="15" hidden="1" customBuiltin="1"/>
    <cellStyle name="Title" xfId="73" builtinId="15" hidden="1" customBuiltin="1"/>
    <cellStyle name="Total" xfId="37" builtinId="25" hidden="1" customBuiltin="1"/>
    <cellStyle name="Total" xfId="85" builtinId="25" hidden="1" customBuiltin="1"/>
    <cellStyle name="Warning Text" xfId="32" builtinId="11" hidden="1" customBuiltin="1"/>
    <cellStyle name="Warning Text" xfId="80" builtinId="11" hidden="1" customBuiltin="1"/>
    <cellStyle name="標準 2" xfId="92"/>
    <cellStyle name="標準 5" xfId="93"/>
  </cellStyles>
  <dxfs count="13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colors>
    <mruColors>
      <color rgb="FF0033CC"/>
      <color rgb="FFFFFFCC"/>
      <color rgb="FFFFFF99"/>
      <color rgb="FFFF99CC"/>
      <color rgb="FFFF99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zmoon\PUB3031\work\IJP\&#12450;&#12521;&#12540;&#12488;&#12486;&#12540;&#12502;&#12523;\02_Lionel_Naiad2(BIJ%20Basic_CIJ)\prtAletTable_BIJBasic_CIJ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tAlertTable_CIJ_BIJBasic"/>
      <sheetName val="SeverityLevel"/>
      <sheetName val="TrainingLevel"/>
      <sheetName val="Group"/>
      <sheetName val="Code"/>
    </sheetNames>
    <sheetDataSet>
      <sheetData sheetId="0"/>
      <sheetData sheetId="1">
        <row r="5">
          <cell r="B5" t="str">
            <v>other(1)</v>
          </cell>
        </row>
        <row r="6">
          <cell r="B6" t="str">
            <v>critical(3)</v>
          </cell>
        </row>
        <row r="7">
          <cell r="B7" t="str">
            <v>warning(4)</v>
          </cell>
        </row>
        <row r="8">
          <cell r="B8" t="str">
            <v>warningBinaryChangeEvent(5)</v>
          </cell>
        </row>
      </sheetData>
      <sheetData sheetId="2">
        <row r="5">
          <cell r="B5" t="str">
            <v>other(1)</v>
          </cell>
        </row>
        <row r="6">
          <cell r="B6" t="str">
            <v>unknown(2)</v>
          </cell>
        </row>
        <row r="7">
          <cell r="B7" t="str">
            <v>untrained(3)</v>
          </cell>
        </row>
        <row r="8">
          <cell r="B8" t="str">
            <v>trained(4)</v>
          </cell>
        </row>
        <row r="9">
          <cell r="B9" t="str">
            <v>fieldService(5)</v>
          </cell>
        </row>
        <row r="10">
          <cell r="B10" t="str">
            <v>management(6)</v>
          </cell>
        </row>
        <row r="11">
          <cell r="B11" t="str">
            <v>noInterventionRequired(7)</v>
          </cell>
        </row>
      </sheetData>
      <sheetData sheetId="3">
        <row r="5">
          <cell r="B5" t="str">
            <v>other(1)</v>
          </cell>
        </row>
        <row r="6">
          <cell r="B6" t="str">
            <v>hostResourcesMIBStorageTable(3)</v>
          </cell>
        </row>
        <row r="7">
          <cell r="B7" t="str">
            <v>hostResourcesMIBDeviceTable(4)</v>
          </cell>
        </row>
        <row r="8">
          <cell r="B8" t="str">
            <v>generalPrinter(5)</v>
          </cell>
        </row>
        <row r="9">
          <cell r="B9" t="str">
            <v>cover(6)</v>
          </cell>
        </row>
        <row r="10">
          <cell r="B10" t="str">
            <v>localization(7)</v>
          </cell>
        </row>
        <row r="11">
          <cell r="B11" t="str">
            <v>input(8)</v>
          </cell>
        </row>
        <row r="12">
          <cell r="B12" t="str">
            <v>output(9)</v>
          </cell>
        </row>
        <row r="13">
          <cell r="B13" t="str">
            <v>marker(10)</v>
          </cell>
        </row>
        <row r="14">
          <cell r="B14" t="str">
            <v>markerSupplies(11)</v>
          </cell>
        </row>
        <row r="15">
          <cell r="B15" t="str">
            <v>markerColorant(12)</v>
          </cell>
        </row>
        <row r="16">
          <cell r="B16" t="str">
            <v>mediaPath(13)</v>
          </cell>
        </row>
        <row r="17">
          <cell r="B17" t="str">
            <v>channel(14)</v>
          </cell>
        </row>
        <row r="18">
          <cell r="B18" t="str">
            <v>interpreter(15)</v>
          </cell>
        </row>
        <row r="19">
          <cell r="B19" t="str">
            <v>consoleDisplayBuffer(16)</v>
          </cell>
        </row>
        <row r="20">
          <cell r="B20" t="str">
            <v>consoleLights(17)</v>
          </cell>
        </row>
        <row r="21">
          <cell r="B21" t="str">
            <v>marker(10) or markerSupplies(11)</v>
          </cell>
        </row>
      </sheetData>
      <sheetData sheetId="4">
        <row r="5">
          <cell r="B5" t="str">
            <v>other(1)</v>
          </cell>
        </row>
        <row r="6">
          <cell r="B6" t="str">
            <v>unknown(2)</v>
          </cell>
        </row>
        <row r="7">
          <cell r="B7" t="str">
            <v>coverOpen(3)</v>
          </cell>
        </row>
        <row r="8">
          <cell r="B8" t="str">
            <v>coverClosed(4)</v>
          </cell>
        </row>
        <row r="9">
          <cell r="B9" t="str">
            <v>interlockOpen(5)</v>
          </cell>
        </row>
        <row r="10">
          <cell r="B10" t="str">
            <v>interlockClosed(6)</v>
          </cell>
        </row>
        <row r="11">
          <cell r="B11" t="str">
            <v>configurationChange(7)</v>
          </cell>
        </row>
        <row r="12">
          <cell r="B12" t="str">
            <v>jam(8)</v>
          </cell>
        </row>
        <row r="13">
          <cell r="B13" t="str">
            <v>subunitMissing(9)</v>
          </cell>
        </row>
        <row r="14">
          <cell r="B14" t="str">
            <v>subunitLifeAlmostOver(10)</v>
          </cell>
        </row>
        <row r="15">
          <cell r="B15" t="str">
            <v>subunitLifeOver(11)</v>
          </cell>
        </row>
        <row r="16">
          <cell r="B16" t="str">
            <v>subunitAlmostEmpty(12)</v>
          </cell>
        </row>
        <row r="17">
          <cell r="B17" t="str">
            <v>subunitEmpty(13)</v>
          </cell>
        </row>
        <row r="18">
          <cell r="B18" t="str">
            <v>subunitAlmostFull(14)</v>
          </cell>
        </row>
        <row r="19">
          <cell r="B19" t="str">
            <v>subunitfull(15)</v>
          </cell>
        </row>
        <row r="20">
          <cell r="B20" t="str">
            <v>subunitNearLimit(16)</v>
          </cell>
        </row>
        <row r="21">
          <cell r="B21" t="str">
            <v>subunitAtLimit(17)</v>
          </cell>
        </row>
        <row r="22">
          <cell r="B22" t="str">
            <v>subunitOpened(18)</v>
          </cell>
        </row>
        <row r="23">
          <cell r="B23" t="str">
            <v>subunitClosed(19)</v>
          </cell>
        </row>
        <row r="24">
          <cell r="B24" t="str">
            <v>subunitTurnedOn(20)</v>
          </cell>
        </row>
        <row r="25">
          <cell r="B25" t="str">
            <v>subunitTurnedOff(21)</v>
          </cell>
        </row>
        <row r="26">
          <cell r="B26" t="str">
            <v>subunitOffline(22)</v>
          </cell>
        </row>
        <row r="27">
          <cell r="B27" t="str">
            <v>subunitPowerSaver(23)</v>
          </cell>
        </row>
        <row r="28">
          <cell r="B28" t="str">
            <v>subunitWarmingUp(24)</v>
          </cell>
        </row>
        <row r="29">
          <cell r="B29" t="str">
            <v>subunitAdded(25)</v>
          </cell>
        </row>
        <row r="30">
          <cell r="B30" t="str">
            <v>subunitRemoved(26)</v>
          </cell>
        </row>
        <row r="31">
          <cell r="B31" t="str">
            <v>subunitResourceAdded(27)</v>
          </cell>
        </row>
        <row r="32">
          <cell r="B32" t="str">
            <v>subunitResourceRemoved(28)</v>
          </cell>
        </row>
        <row r="33">
          <cell r="B33" t="str">
            <v>subunitRecoverableFailure(29)</v>
          </cell>
        </row>
        <row r="34">
          <cell r="B34" t="str">
            <v>subunitUnrecoverableFailure(30)</v>
          </cell>
        </row>
        <row r="35">
          <cell r="B35" t="str">
            <v>subunitRecoverableStorageError(31)</v>
          </cell>
        </row>
        <row r="36">
          <cell r="B36" t="str">
            <v>subunitUnrecoverableStorageError(32)</v>
          </cell>
        </row>
        <row r="37">
          <cell r="B37" t="str">
            <v>subunitMotorFailure(33)</v>
          </cell>
        </row>
        <row r="38">
          <cell r="B38" t="str">
            <v>subunitMemoryExhausted(34)</v>
          </cell>
        </row>
        <row r="39">
          <cell r="B39" t="str">
            <v>subunitUnderTemperature(35)</v>
          </cell>
        </row>
        <row r="40">
          <cell r="B40" t="str">
            <v>subunitOverTemperature(36)</v>
          </cell>
        </row>
        <row r="41">
          <cell r="B41" t="str">
            <v>subunitTimingFailure(37)</v>
          </cell>
        </row>
        <row r="42">
          <cell r="B42" t="str">
            <v>subunitThermistorFailure(38)</v>
          </cell>
        </row>
        <row r="43">
          <cell r="B43" t="str">
            <v>doorOpen(501)</v>
          </cell>
        </row>
        <row r="44">
          <cell r="B44" t="str">
            <v>doorClosed(502)</v>
          </cell>
        </row>
        <row r="45">
          <cell r="B45" t="str">
            <v>powerUp(503)</v>
          </cell>
        </row>
        <row r="46">
          <cell r="B46" t="str">
            <v>powerDown(504)</v>
          </cell>
        </row>
        <row r="47">
          <cell r="B47" t="str">
            <v>printerNMSReset(505)</v>
          </cell>
        </row>
        <row r="48">
          <cell r="B48" t="str">
            <v>printerManualReset(506)</v>
          </cell>
        </row>
        <row r="49">
          <cell r="B49" t="str">
            <v>printerReadyToPrint(507)</v>
          </cell>
        </row>
        <row r="50">
          <cell r="B50" t="str">
            <v>inputMediaTrayMissing(801)</v>
          </cell>
        </row>
        <row r="51">
          <cell r="B51" t="str">
            <v>inputMediaSizeChange(802)</v>
          </cell>
        </row>
        <row r="52">
          <cell r="B52" t="str">
            <v>inputMediaWeightChange(803)</v>
          </cell>
        </row>
        <row r="53">
          <cell r="B53" t="str">
            <v>inputMediaTypeChange(804)</v>
          </cell>
        </row>
        <row r="54">
          <cell r="B54" t="str">
            <v>inputMediaColorChange(805)</v>
          </cell>
        </row>
        <row r="55">
          <cell r="B55" t="str">
            <v>inputMediaFormPartsChange(806)</v>
          </cell>
        </row>
        <row r="56">
          <cell r="B56" t="str">
            <v>inputMediaSupplyLow(807)</v>
          </cell>
        </row>
        <row r="57">
          <cell r="B57" t="str">
            <v>inputMediaSupplyEmpty(808)</v>
          </cell>
        </row>
        <row r="58">
          <cell r="B58" t="str">
            <v>inputMediaChangeRequest(809)</v>
          </cell>
        </row>
        <row r="59">
          <cell r="B59" t="str">
            <v>inputManualInputRequest(810)</v>
          </cell>
        </row>
        <row r="60">
          <cell r="B60" t="str">
            <v>inputTrayPositionFailure(811)</v>
          </cell>
        </row>
        <row r="61">
          <cell r="B61" t="str">
            <v>inputTrayElevationFailure(812)</v>
          </cell>
        </row>
        <row r="62">
          <cell r="B62" t="str">
            <v>inputCannotFeedSizeSelected(813)</v>
          </cell>
        </row>
        <row r="63">
          <cell r="B63" t="str">
            <v>outputMediaTrayMissing(901)</v>
          </cell>
        </row>
        <row r="64">
          <cell r="B64" t="str">
            <v>outputMediaTrayAlmostFull(902)</v>
          </cell>
        </row>
        <row r="65">
          <cell r="B65" t="str">
            <v>outputMediaTrayFull(903)</v>
          </cell>
        </row>
        <row r="66">
          <cell r="B66" t="str">
            <v>outputMailboxSelectFailure(904)</v>
          </cell>
        </row>
        <row r="67">
          <cell r="B67" t="str">
            <v>markerFuserUnderTemperature(1001)</v>
          </cell>
        </row>
        <row r="68">
          <cell r="B68" t="str">
            <v>markerFuserOverTemperature(1002)</v>
          </cell>
        </row>
        <row r="69">
          <cell r="B69" t="str">
            <v>markerFuserTimingFailure(1003)</v>
          </cell>
        </row>
        <row r="70">
          <cell r="B70" t="str">
            <v>markerFuserThermistorFailure(1004)</v>
          </cell>
        </row>
        <row r="71">
          <cell r="B71" t="str">
            <v>markerAdjustingPrintQuality(1005)</v>
          </cell>
        </row>
        <row r="72">
          <cell r="B72" t="str">
            <v>markerTonerEmpty(1101)</v>
          </cell>
        </row>
        <row r="73">
          <cell r="B73" t="str">
            <v>markerInkEmpty(1102)</v>
          </cell>
        </row>
        <row r="74">
          <cell r="B74" t="str">
            <v>markerPrintRibbonEmpty(1103)</v>
          </cell>
        </row>
        <row r="75">
          <cell r="B75" t="str">
            <v>markerTonerAlmostEmpty(1104)</v>
          </cell>
        </row>
        <row r="76">
          <cell r="B76" t="str">
            <v>markerInkAlmostEmpty(1105)</v>
          </cell>
        </row>
        <row r="77">
          <cell r="B77" t="str">
            <v>markerPrintRibbonAlmostEmpty(1106)</v>
          </cell>
        </row>
        <row r="78">
          <cell r="B78" t="str">
            <v>markerWasteTonerReceptacleAlmostFull(1107)</v>
          </cell>
        </row>
        <row r="79">
          <cell r="B79" t="str">
            <v>markerWasteInkReceptacleAlmostFull(1108)</v>
          </cell>
        </row>
        <row r="80">
          <cell r="B80" t="str">
            <v>markerWasteTonerReceptacleFull(1109)</v>
          </cell>
        </row>
        <row r="81">
          <cell r="B81" t="str">
            <v>markerWasteInkReceptacleFull(1110)</v>
          </cell>
        </row>
        <row r="82">
          <cell r="B82" t="str">
            <v>markerOpcLifeAlmostOver(1111)</v>
          </cell>
        </row>
        <row r="83">
          <cell r="B83" t="str">
            <v>markerOpcLifeOver(1112)</v>
          </cell>
        </row>
        <row r="84">
          <cell r="B84" t="str">
            <v>markerDeveloperAlmostEmpty(1113)</v>
          </cell>
        </row>
        <row r="85">
          <cell r="B85" t="str">
            <v>markerDeveloperEmpty(1114)</v>
          </cell>
        </row>
        <row r="86">
          <cell r="B86" t="str">
            <v>markerTonerCartridgeMissing(1115)</v>
          </cell>
        </row>
        <row r="87">
          <cell r="B87" t="str">
            <v>mediaPathMediaTrayMissing(1301)</v>
          </cell>
        </row>
        <row r="88">
          <cell r="B88" t="str">
            <v>mediaPathMediaTrayAlmostFull(1302)</v>
          </cell>
        </row>
        <row r="89">
          <cell r="B89" t="str">
            <v>mediaPathMediaTrayFull(1303)</v>
          </cell>
        </row>
        <row r="90">
          <cell r="B90" t="str">
            <v>mediaPathCannotDuplexMediaSelected(1304)</v>
          </cell>
        </row>
        <row r="91">
          <cell r="B91" t="str">
            <v>interpreterMemoryIncrease(1501)</v>
          </cell>
        </row>
        <row r="92">
          <cell r="B92" t="str">
            <v>interpreterMemoryDecrease(1502)</v>
          </cell>
        </row>
        <row r="93">
          <cell r="B93" t="str">
            <v>interpreterCartridgeAdded(1503)</v>
          </cell>
        </row>
        <row r="94">
          <cell r="B94" t="str">
            <v>interpreterCartridgeDeleted(1504)</v>
          </cell>
        </row>
        <row r="95">
          <cell r="B95" t="str">
            <v>interpreterResourceAdded(1505)</v>
          </cell>
        </row>
        <row r="96">
          <cell r="B96" t="str">
            <v>interpreterResourceDeleted(1506)</v>
          </cell>
        </row>
        <row r="97">
          <cell r="B97" t="str">
            <v>interpreterResourceUnavailable(1507)</v>
          </cell>
        </row>
        <row r="98">
          <cell r="B98" t="str">
            <v>interpreterComplexPageEncountered(1509)</v>
          </cell>
        </row>
        <row r="99">
          <cell r="B99" t="str">
            <v>alertRemovalOfBinaryChangeEntry(1801)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P297"/>
  <sheetViews>
    <sheetView zoomScale="85" zoomScaleNormal="85" workbookViewId="0">
      <pane ySplit="5" topLeftCell="A278" activePane="bottomLeft" state="frozen"/>
      <selection pane="bottomLeft" activeCell="P297" sqref="P297"/>
    </sheetView>
  </sheetViews>
  <sheetFormatPr defaultColWidth="9" defaultRowHeight="10.8"/>
  <cols>
    <col min="1" max="1" width="1.6640625" style="2" customWidth="1"/>
    <col min="2" max="2" width="26.33203125" style="2" bestFit="1" customWidth="1"/>
    <col min="3" max="3" width="47.33203125" style="2" bestFit="1" customWidth="1"/>
    <col min="4" max="7" width="8.6640625" style="2" customWidth="1"/>
    <col min="8" max="9" width="1.6640625" style="2" customWidth="1"/>
    <col min="10" max="10" width="18.88671875" style="2" bestFit="1" customWidth="1"/>
    <col min="11" max="11" width="17.109375" style="2" bestFit="1" customWidth="1"/>
    <col min="12" max="12" width="17.109375" style="2" customWidth="1"/>
    <col min="13" max="13" width="19.44140625" style="2" bestFit="1" customWidth="1"/>
    <col min="14" max="14" width="20" style="2" bestFit="1" customWidth="1"/>
    <col min="15" max="15" width="12.109375" style="2" bestFit="1" customWidth="1"/>
    <col min="16" max="16" width="12.33203125" style="2" bestFit="1" customWidth="1"/>
    <col min="17" max="16384" width="9" style="2"/>
  </cols>
  <sheetData>
    <row r="2" spans="1:16">
      <c r="E2" s="6" t="s">
        <v>4166</v>
      </c>
      <c r="K2" s="1" t="s">
        <v>1205</v>
      </c>
      <c r="L2" s="1"/>
      <c r="M2" s="1"/>
    </row>
    <row r="3" spans="1:16">
      <c r="E3" s="1" t="s">
        <v>4167</v>
      </c>
      <c r="J3" s="6" t="s">
        <v>1357</v>
      </c>
      <c r="K3" s="6" t="s">
        <v>4168</v>
      </c>
      <c r="L3" s="6" t="s">
        <v>4169</v>
      </c>
      <c r="M3" s="2" t="s">
        <v>4333</v>
      </c>
      <c r="N3" s="2" t="s">
        <v>4170</v>
      </c>
    </row>
    <row r="4" spans="1:16">
      <c r="B4" s="2" t="s">
        <v>4171</v>
      </c>
      <c r="D4" s="2">
        <f ca="1">-COUNTA(INDIRECT(CONCATENATE("'",J6,"'!",L6)))</f>
        <v>-1</v>
      </c>
      <c r="J4" s="1" t="s">
        <v>1356</v>
      </c>
      <c r="K4" s="1" t="s">
        <v>4168</v>
      </c>
      <c r="L4" s="1" t="s">
        <v>4169</v>
      </c>
      <c r="M4" s="2" t="s">
        <v>4333</v>
      </c>
      <c r="N4" s="2" t="s">
        <v>4170</v>
      </c>
    </row>
    <row r="5" spans="1:16">
      <c r="D5" s="2" t="s">
        <v>4172</v>
      </c>
      <c r="E5" s="2" t="s">
        <v>4173</v>
      </c>
      <c r="F5" s="2" t="s">
        <v>4174</v>
      </c>
      <c r="G5" s="2" t="s">
        <v>4175</v>
      </c>
      <c r="J5" s="1" t="s">
        <v>4176</v>
      </c>
      <c r="K5" s="1" t="s">
        <v>4177</v>
      </c>
      <c r="L5" s="1" t="s">
        <v>4178</v>
      </c>
      <c r="M5" s="1" t="s">
        <v>4179</v>
      </c>
      <c r="N5" s="1" t="s">
        <v>4180</v>
      </c>
      <c r="O5" s="1" t="s">
        <v>4181</v>
      </c>
      <c r="P5" s="1" t="s">
        <v>4182</v>
      </c>
    </row>
    <row r="6" spans="1:16">
      <c r="A6" s="7"/>
      <c r="B6" s="2" t="s">
        <v>4183</v>
      </c>
      <c r="C6" s="2" t="s">
        <v>872</v>
      </c>
      <c r="D6" s="7">
        <f ca="1">COUNTA(INDIRECT(CONCATENATE("'",J6,"'!",K6)))</f>
        <v>1</v>
      </c>
      <c r="E6" s="7" t="e">
        <f ca="1">G6+F6</f>
        <v>#REF!</v>
      </c>
      <c r="F6" s="7" t="e">
        <f ca="1">COUNTIF(INDIRECT(CONCATENATE("'",J6,"'!",M6)),"●")+COUNTIFS(INDIRECT(CONCATENATE("'",J6,"'!",M6)),"×",INDIRECT(CONCATENATE("'",J6,"'!",N6)),"●")</f>
        <v>#REF!</v>
      </c>
      <c r="G6" s="7" t="e">
        <f ca="1">COUNTIF(INDIRECT(CONCATENATE("'",J6,"'!",M6)),"×")-COUNTIFS(INDIRECT(CONCATENATE("'",J6,"'!",M6)),"×",INDIRECT(CONCATENATE("'",J6,"'!",N6)),"●")</f>
        <v>#REF!</v>
      </c>
      <c r="H6" s="7"/>
      <c r="I6" s="7"/>
      <c r="J6" s="6" t="s">
        <v>1357</v>
      </c>
      <c r="K6" s="6" t="e">
        <f t="shared" ref="K6:K74" ca="1" si="0">CONCATENATE("$",IF(J6=$J$3,$K$3,$K$4),"$",O6,":","$",IF(J6=$J$3,$K$3,$K$4),"$",P6)</f>
        <v>#REF!</v>
      </c>
      <c r="L6" s="6" t="e">
        <f t="shared" ref="L6:L73" ca="1" si="1">CONCATENATE("$",IF(K6=$J$3,$L$3,$L$4),"$",O6,":","$",IF(K6=$J$3,$L$3,$L$4),"$",P6)</f>
        <v>#REF!</v>
      </c>
      <c r="M6" s="1" t="e">
        <f ca="1">CONCATENATE("$",IF(J6=$J$3,$M$3,$M$4),"$",O6,":","$",IF(J6=$J$3,$M$3,$M$4),"$",P6)</f>
        <v>#REF!</v>
      </c>
      <c r="N6" s="1" t="e">
        <f t="shared" ref="N6:N74" ca="1" si="2">CONCATENATE("$",IF(J6=$J$3,$N$3,$N$4),"$",O6,":","$",IF(J6=$J$3,$N$3,$N$4),"$",P6)</f>
        <v>#REF!</v>
      </c>
      <c r="O6" s="1" t="e">
        <f t="shared" ref="O6:O74" ca="1" si="3">MATCH($C6,INDIRECT(CONCATENATE("'",J6,"'!$D:$D")),0)</f>
        <v>#REF!</v>
      </c>
      <c r="P6" s="1" t="e">
        <f t="shared" ref="P6:P74" ca="1" si="4">MATCH("*",INDIRECT(CONCATENATE("'",$J6,"'!","D",$O6+1,":","D65535"),TRUE),0)+O6-1</f>
        <v>#REF!</v>
      </c>
    </row>
    <row r="7" spans="1:16">
      <c r="A7" s="7"/>
      <c r="C7" s="2" t="s">
        <v>1204</v>
      </c>
      <c r="D7" s="7">
        <f t="shared" ref="D7:D70" ca="1" si="5">COUNTA(INDIRECT(CONCATENATE("'",J7,"'!",K7)))</f>
        <v>1</v>
      </c>
      <c r="E7" s="7" t="e">
        <f t="shared" ref="E7:E70" ca="1" si="6">G7+F7</f>
        <v>#REF!</v>
      </c>
      <c r="F7" s="7" t="e">
        <f t="shared" ref="F7:F70" ca="1" si="7">COUNTIF(INDIRECT(CONCATENATE("'",J7,"'!",M7)),"●")+COUNTIFS(INDIRECT(CONCATENATE("'",J7,"'!",M7)),"×",INDIRECT(CONCATENATE("'",J7,"'!",N7)),"●")</f>
        <v>#REF!</v>
      </c>
      <c r="G7" s="7" t="e">
        <f t="shared" ref="G7:G70" ca="1" si="8">COUNTIF(INDIRECT(CONCATENATE("'",J7,"'!",M7)),"×")-COUNTIFS(INDIRECT(CONCATENATE("'",J7,"'!",M7)),"×",INDIRECT(CONCATENATE("'",J7,"'!",N7)),"●")</f>
        <v>#REF!</v>
      </c>
      <c r="H7" s="7"/>
      <c r="I7" s="7"/>
      <c r="J7" s="6" t="s">
        <v>1357</v>
      </c>
      <c r="K7" s="6" t="e">
        <f t="shared" ca="1" si="0"/>
        <v>#REF!</v>
      </c>
      <c r="L7" s="6" t="e">
        <f t="shared" ca="1" si="1"/>
        <v>#REF!</v>
      </c>
      <c r="M7" s="1" t="e">
        <f t="shared" ref="M7:M74" ca="1" si="9">CONCATENATE("$",IF(J7=$J$3,$M$3,$M$4),"$",O7,":","$",IF(J7=$J$3,$M$3,$M$4),"$",P7)</f>
        <v>#REF!</v>
      </c>
      <c r="N7" s="1" t="e">
        <f t="shared" ca="1" si="2"/>
        <v>#REF!</v>
      </c>
      <c r="O7" s="1" t="e">
        <f t="shared" ca="1" si="3"/>
        <v>#REF!</v>
      </c>
      <c r="P7" s="1" t="e">
        <f t="shared" ca="1" si="4"/>
        <v>#REF!</v>
      </c>
    </row>
    <row r="8" spans="1:16">
      <c r="A8" s="7"/>
      <c r="C8" s="2" t="s">
        <v>873</v>
      </c>
      <c r="D8" s="7">
        <f t="shared" ca="1" si="5"/>
        <v>1</v>
      </c>
      <c r="E8" s="7" t="e">
        <f t="shared" ca="1" si="6"/>
        <v>#REF!</v>
      </c>
      <c r="F8" s="7" t="e">
        <f t="shared" ca="1" si="7"/>
        <v>#REF!</v>
      </c>
      <c r="G8" s="7" t="e">
        <f t="shared" ca="1" si="8"/>
        <v>#REF!</v>
      </c>
      <c r="H8" s="7"/>
      <c r="I8" s="7"/>
      <c r="J8" s="6" t="s">
        <v>1357</v>
      </c>
      <c r="K8" s="6" t="e">
        <f t="shared" ca="1" si="0"/>
        <v>#REF!</v>
      </c>
      <c r="L8" s="6" t="e">
        <f t="shared" ca="1" si="1"/>
        <v>#REF!</v>
      </c>
      <c r="M8" s="1" t="e">
        <f t="shared" ca="1" si="9"/>
        <v>#REF!</v>
      </c>
      <c r="N8" s="1" t="e">
        <f t="shared" ca="1" si="2"/>
        <v>#REF!</v>
      </c>
      <c r="O8" s="1" t="e">
        <f t="shared" ca="1" si="3"/>
        <v>#REF!</v>
      </c>
      <c r="P8" s="1" t="e">
        <f t="shared" ca="1" si="4"/>
        <v>#REF!</v>
      </c>
    </row>
    <row r="9" spans="1:16">
      <c r="A9" s="7"/>
      <c r="C9" s="2" t="s">
        <v>951</v>
      </c>
      <c r="D9" s="7">
        <f t="shared" ca="1" si="5"/>
        <v>1</v>
      </c>
      <c r="E9" s="7" t="e">
        <f t="shared" ca="1" si="6"/>
        <v>#REF!</v>
      </c>
      <c r="F9" s="7" t="e">
        <f t="shared" ca="1" si="7"/>
        <v>#REF!</v>
      </c>
      <c r="G9" s="7" t="e">
        <f t="shared" ca="1" si="8"/>
        <v>#REF!</v>
      </c>
      <c r="H9" s="7"/>
      <c r="I9" s="7"/>
      <c r="J9" s="6" t="s">
        <v>1357</v>
      </c>
      <c r="K9" s="6" t="e">
        <f t="shared" ca="1" si="0"/>
        <v>#REF!</v>
      </c>
      <c r="L9" s="6" t="e">
        <f t="shared" ca="1" si="1"/>
        <v>#REF!</v>
      </c>
      <c r="M9" s="1" t="e">
        <f t="shared" ca="1" si="9"/>
        <v>#REF!</v>
      </c>
      <c r="N9" s="1" t="e">
        <f t="shared" ca="1" si="2"/>
        <v>#REF!</v>
      </c>
      <c r="O9" s="1" t="e">
        <f t="shared" ca="1" si="3"/>
        <v>#REF!</v>
      </c>
      <c r="P9" s="1" t="e">
        <f t="shared" ca="1" si="4"/>
        <v>#REF!</v>
      </c>
    </row>
    <row r="10" spans="1:16">
      <c r="A10" s="7"/>
      <c r="C10" s="2" t="s">
        <v>4184</v>
      </c>
      <c r="D10" s="7">
        <f t="shared" ca="1" si="5"/>
        <v>1</v>
      </c>
      <c r="E10" s="7" t="e">
        <f t="shared" ca="1" si="6"/>
        <v>#REF!</v>
      </c>
      <c r="F10" s="7" t="e">
        <f t="shared" ca="1" si="7"/>
        <v>#REF!</v>
      </c>
      <c r="G10" s="7" t="e">
        <f t="shared" ca="1" si="8"/>
        <v>#REF!</v>
      </c>
      <c r="H10" s="7"/>
      <c r="I10" s="7"/>
      <c r="J10" s="6" t="s">
        <v>1357</v>
      </c>
      <c r="K10" s="6" t="e">
        <f t="shared" ca="1" si="0"/>
        <v>#REF!</v>
      </c>
      <c r="L10" s="6" t="e">
        <f t="shared" ca="1" si="1"/>
        <v>#REF!</v>
      </c>
      <c r="M10" s="1" t="e">
        <f t="shared" ca="1" si="9"/>
        <v>#REF!</v>
      </c>
      <c r="N10" s="1" t="e">
        <f t="shared" ca="1" si="2"/>
        <v>#REF!</v>
      </c>
      <c r="O10" s="1" t="e">
        <f t="shared" ca="1" si="3"/>
        <v>#REF!</v>
      </c>
      <c r="P10" s="1" t="e">
        <f t="shared" ca="1" si="4"/>
        <v>#REF!</v>
      </c>
    </row>
    <row r="11" spans="1:16">
      <c r="A11" s="7"/>
      <c r="C11" s="2" t="s">
        <v>847</v>
      </c>
      <c r="D11" s="7">
        <f t="shared" ca="1" si="5"/>
        <v>1</v>
      </c>
      <c r="E11" s="7" t="e">
        <f t="shared" ca="1" si="6"/>
        <v>#REF!</v>
      </c>
      <c r="F11" s="7" t="e">
        <f t="shared" ca="1" si="7"/>
        <v>#REF!</v>
      </c>
      <c r="G11" s="7" t="e">
        <f t="shared" ca="1" si="8"/>
        <v>#REF!</v>
      </c>
      <c r="H11" s="7"/>
      <c r="I11" s="7"/>
      <c r="J11" s="6" t="s">
        <v>1357</v>
      </c>
      <c r="K11" s="6" t="e">
        <f t="shared" ca="1" si="0"/>
        <v>#REF!</v>
      </c>
      <c r="L11" s="6" t="e">
        <f t="shared" ca="1" si="1"/>
        <v>#REF!</v>
      </c>
      <c r="M11" s="1" t="e">
        <f t="shared" ca="1" si="9"/>
        <v>#REF!</v>
      </c>
      <c r="N11" s="1" t="e">
        <f t="shared" ca="1" si="2"/>
        <v>#REF!</v>
      </c>
      <c r="O11" s="1" t="e">
        <f t="shared" ca="1" si="3"/>
        <v>#REF!</v>
      </c>
      <c r="P11" s="1" t="e">
        <f t="shared" ca="1" si="4"/>
        <v>#REF!</v>
      </c>
    </row>
    <row r="12" spans="1:16">
      <c r="A12" s="7"/>
      <c r="C12" s="2" t="s">
        <v>4185</v>
      </c>
      <c r="D12" s="7">
        <f t="shared" ca="1" si="5"/>
        <v>1</v>
      </c>
      <c r="E12" s="7" t="e">
        <f t="shared" ca="1" si="6"/>
        <v>#REF!</v>
      </c>
      <c r="F12" s="7" t="e">
        <f t="shared" ca="1" si="7"/>
        <v>#REF!</v>
      </c>
      <c r="G12" s="7" t="e">
        <f t="shared" ca="1" si="8"/>
        <v>#REF!</v>
      </c>
      <c r="H12" s="7"/>
      <c r="I12" s="7"/>
      <c r="J12" s="6" t="s">
        <v>1357</v>
      </c>
      <c r="K12" s="6" t="e">
        <f t="shared" ca="1" si="0"/>
        <v>#REF!</v>
      </c>
      <c r="L12" s="6" t="e">
        <f t="shared" ca="1" si="1"/>
        <v>#REF!</v>
      </c>
      <c r="M12" s="1" t="e">
        <f t="shared" ca="1" si="9"/>
        <v>#REF!</v>
      </c>
      <c r="N12" s="1" t="e">
        <f t="shared" ca="1" si="2"/>
        <v>#REF!</v>
      </c>
      <c r="O12" s="1" t="e">
        <f t="shared" ca="1" si="3"/>
        <v>#REF!</v>
      </c>
      <c r="P12" s="1" t="e">
        <f t="shared" ca="1" si="4"/>
        <v>#REF!</v>
      </c>
    </row>
    <row r="13" spans="1:16">
      <c r="A13" s="7"/>
      <c r="C13" s="2" t="s">
        <v>4186</v>
      </c>
      <c r="D13" s="7">
        <f t="shared" ca="1" si="5"/>
        <v>1</v>
      </c>
      <c r="E13" s="7" t="e">
        <f t="shared" ca="1" si="6"/>
        <v>#REF!</v>
      </c>
      <c r="F13" s="7" t="e">
        <f t="shared" ca="1" si="7"/>
        <v>#REF!</v>
      </c>
      <c r="G13" s="7" t="e">
        <f t="shared" ca="1" si="8"/>
        <v>#REF!</v>
      </c>
      <c r="H13" s="7"/>
      <c r="I13" s="7"/>
      <c r="J13" s="6" t="s">
        <v>1357</v>
      </c>
      <c r="K13" s="6" t="e">
        <f t="shared" ca="1" si="0"/>
        <v>#REF!</v>
      </c>
      <c r="L13" s="6" t="e">
        <f t="shared" ca="1" si="1"/>
        <v>#REF!</v>
      </c>
      <c r="M13" s="1" t="e">
        <f t="shared" ca="1" si="9"/>
        <v>#REF!</v>
      </c>
      <c r="N13" s="1" t="e">
        <f t="shared" ca="1" si="2"/>
        <v>#REF!</v>
      </c>
      <c r="O13" s="1" t="e">
        <f t="shared" ca="1" si="3"/>
        <v>#REF!</v>
      </c>
      <c r="P13" s="1" t="e">
        <f t="shared" ca="1" si="4"/>
        <v>#REF!</v>
      </c>
    </row>
    <row r="14" spans="1:16">
      <c r="A14" s="7"/>
      <c r="C14" s="2" t="s">
        <v>4187</v>
      </c>
      <c r="D14" s="7">
        <f t="shared" ca="1" si="5"/>
        <v>1</v>
      </c>
      <c r="E14" s="7" t="e">
        <f t="shared" ca="1" si="6"/>
        <v>#REF!</v>
      </c>
      <c r="F14" s="7" t="e">
        <f t="shared" ca="1" si="7"/>
        <v>#REF!</v>
      </c>
      <c r="G14" s="7" t="e">
        <f t="shared" ca="1" si="8"/>
        <v>#REF!</v>
      </c>
      <c r="H14" s="7"/>
      <c r="I14" s="7"/>
      <c r="J14" s="6" t="s">
        <v>1357</v>
      </c>
      <c r="K14" s="6" t="e">
        <f t="shared" ca="1" si="0"/>
        <v>#REF!</v>
      </c>
      <c r="L14" s="6" t="e">
        <f t="shared" ca="1" si="1"/>
        <v>#REF!</v>
      </c>
      <c r="M14" s="1" t="e">
        <f t="shared" ca="1" si="9"/>
        <v>#REF!</v>
      </c>
      <c r="N14" s="1" t="e">
        <f t="shared" ca="1" si="2"/>
        <v>#REF!</v>
      </c>
      <c r="O14" s="1" t="e">
        <f t="shared" ca="1" si="3"/>
        <v>#REF!</v>
      </c>
      <c r="P14" s="1" t="e">
        <f t="shared" ca="1" si="4"/>
        <v>#REF!</v>
      </c>
    </row>
    <row r="15" spans="1:16">
      <c r="A15" s="7"/>
      <c r="B15" s="2" t="s">
        <v>4188</v>
      </c>
      <c r="C15" s="2" t="s">
        <v>874</v>
      </c>
      <c r="D15" s="7">
        <f t="shared" ca="1" si="5"/>
        <v>1</v>
      </c>
      <c r="E15" s="7" t="e">
        <f t="shared" ca="1" si="6"/>
        <v>#REF!</v>
      </c>
      <c r="F15" s="7" t="e">
        <f t="shared" ca="1" si="7"/>
        <v>#REF!</v>
      </c>
      <c r="G15" s="7" t="e">
        <f t="shared" ca="1" si="8"/>
        <v>#REF!</v>
      </c>
      <c r="H15" s="7"/>
      <c r="I15" s="7"/>
      <c r="J15" s="6" t="s">
        <v>1357</v>
      </c>
      <c r="K15" s="6" t="e">
        <f t="shared" ca="1" si="0"/>
        <v>#REF!</v>
      </c>
      <c r="L15" s="6" t="e">
        <f t="shared" ca="1" si="1"/>
        <v>#REF!</v>
      </c>
      <c r="M15" s="1" t="e">
        <f t="shared" ca="1" si="9"/>
        <v>#REF!</v>
      </c>
      <c r="N15" s="1" t="e">
        <f t="shared" ca="1" si="2"/>
        <v>#REF!</v>
      </c>
      <c r="O15" s="1" t="e">
        <f t="shared" ca="1" si="3"/>
        <v>#REF!</v>
      </c>
      <c r="P15" s="1" t="e">
        <f t="shared" ca="1" si="4"/>
        <v>#REF!</v>
      </c>
    </row>
    <row r="16" spans="1:16">
      <c r="A16" s="7"/>
      <c r="C16" s="2" t="s">
        <v>4189</v>
      </c>
      <c r="D16" s="7">
        <f t="shared" ca="1" si="5"/>
        <v>1</v>
      </c>
      <c r="E16" s="7" t="e">
        <f t="shared" ca="1" si="6"/>
        <v>#REF!</v>
      </c>
      <c r="F16" s="7" t="e">
        <f t="shared" ca="1" si="7"/>
        <v>#REF!</v>
      </c>
      <c r="G16" s="7" t="e">
        <f t="shared" ca="1" si="8"/>
        <v>#REF!</v>
      </c>
      <c r="H16" s="7"/>
      <c r="I16" s="7"/>
      <c r="J16" s="6" t="s">
        <v>1357</v>
      </c>
      <c r="K16" s="6" t="e">
        <f t="shared" ca="1" si="0"/>
        <v>#REF!</v>
      </c>
      <c r="L16" s="6" t="e">
        <f t="shared" ca="1" si="1"/>
        <v>#REF!</v>
      </c>
      <c r="M16" s="1" t="e">
        <f t="shared" ca="1" si="9"/>
        <v>#REF!</v>
      </c>
      <c r="N16" s="1" t="e">
        <f t="shared" ca="1" si="2"/>
        <v>#REF!</v>
      </c>
      <c r="O16" s="1" t="e">
        <f t="shared" ca="1" si="3"/>
        <v>#REF!</v>
      </c>
      <c r="P16" s="1" t="e">
        <f t="shared" ca="1" si="4"/>
        <v>#REF!</v>
      </c>
    </row>
    <row r="17" spans="1:16">
      <c r="A17" s="7"/>
      <c r="C17" s="2" t="s">
        <v>4190</v>
      </c>
      <c r="D17" s="7">
        <f t="shared" ca="1" si="5"/>
        <v>1</v>
      </c>
      <c r="E17" s="7" t="e">
        <f t="shared" ca="1" si="6"/>
        <v>#REF!</v>
      </c>
      <c r="F17" s="7" t="e">
        <f t="shared" ca="1" si="7"/>
        <v>#REF!</v>
      </c>
      <c r="G17" s="7" t="e">
        <f t="shared" ca="1" si="8"/>
        <v>#REF!</v>
      </c>
      <c r="H17" s="7"/>
      <c r="I17" s="7"/>
      <c r="J17" s="6" t="s">
        <v>1357</v>
      </c>
      <c r="K17" s="6" t="e">
        <f t="shared" ca="1" si="0"/>
        <v>#REF!</v>
      </c>
      <c r="L17" s="6" t="e">
        <f t="shared" ca="1" si="1"/>
        <v>#REF!</v>
      </c>
      <c r="M17" s="1" t="e">
        <f t="shared" ca="1" si="9"/>
        <v>#REF!</v>
      </c>
      <c r="N17" s="1" t="e">
        <f t="shared" ca="1" si="2"/>
        <v>#REF!</v>
      </c>
      <c r="O17" s="1" t="e">
        <f t="shared" ca="1" si="3"/>
        <v>#REF!</v>
      </c>
      <c r="P17" s="1" t="e">
        <f t="shared" ca="1" si="4"/>
        <v>#REF!</v>
      </c>
    </row>
    <row r="18" spans="1:16">
      <c r="A18" s="7"/>
      <c r="C18" s="2" t="s">
        <v>875</v>
      </c>
      <c r="D18" s="7">
        <f t="shared" ca="1" si="5"/>
        <v>1</v>
      </c>
      <c r="E18" s="7" t="e">
        <f t="shared" ca="1" si="6"/>
        <v>#REF!</v>
      </c>
      <c r="F18" s="7" t="e">
        <f t="shared" ca="1" si="7"/>
        <v>#REF!</v>
      </c>
      <c r="G18" s="7" t="e">
        <f t="shared" ca="1" si="8"/>
        <v>#REF!</v>
      </c>
      <c r="H18" s="7"/>
      <c r="I18" s="7"/>
      <c r="J18" s="6" t="s">
        <v>1357</v>
      </c>
      <c r="K18" s="6" t="e">
        <f t="shared" ca="1" si="0"/>
        <v>#REF!</v>
      </c>
      <c r="L18" s="6" t="e">
        <f t="shared" ca="1" si="1"/>
        <v>#REF!</v>
      </c>
      <c r="M18" s="1" t="e">
        <f t="shared" ca="1" si="9"/>
        <v>#REF!</v>
      </c>
      <c r="N18" s="1" t="e">
        <f t="shared" ca="1" si="2"/>
        <v>#REF!</v>
      </c>
      <c r="O18" s="1" t="e">
        <f t="shared" ca="1" si="3"/>
        <v>#REF!</v>
      </c>
      <c r="P18" s="1" t="e">
        <f t="shared" ca="1" si="4"/>
        <v>#REF!</v>
      </c>
    </row>
    <row r="19" spans="1:16">
      <c r="A19" s="7"/>
      <c r="C19" s="2" t="s">
        <v>876</v>
      </c>
      <c r="D19" s="7">
        <f t="shared" ca="1" si="5"/>
        <v>1</v>
      </c>
      <c r="E19" s="7" t="e">
        <f t="shared" ca="1" si="6"/>
        <v>#REF!</v>
      </c>
      <c r="F19" s="7" t="e">
        <f t="shared" ca="1" si="7"/>
        <v>#REF!</v>
      </c>
      <c r="G19" s="7" t="e">
        <f t="shared" ca="1" si="8"/>
        <v>#REF!</v>
      </c>
      <c r="H19" s="7"/>
      <c r="I19" s="7"/>
      <c r="J19" s="6" t="s">
        <v>1357</v>
      </c>
      <c r="K19" s="6" t="e">
        <f t="shared" ca="1" si="0"/>
        <v>#REF!</v>
      </c>
      <c r="L19" s="6" t="e">
        <f t="shared" ca="1" si="1"/>
        <v>#REF!</v>
      </c>
      <c r="M19" s="1" t="e">
        <f t="shared" ca="1" si="9"/>
        <v>#REF!</v>
      </c>
      <c r="N19" s="1" t="e">
        <f t="shared" ca="1" si="2"/>
        <v>#REF!</v>
      </c>
      <c r="O19" s="1" t="e">
        <f t="shared" ca="1" si="3"/>
        <v>#REF!</v>
      </c>
      <c r="P19" s="1" t="e">
        <f t="shared" ca="1" si="4"/>
        <v>#REF!</v>
      </c>
    </row>
    <row r="20" spans="1:16">
      <c r="A20" s="7"/>
      <c r="B20" s="7"/>
      <c r="C20" s="2" t="s">
        <v>877</v>
      </c>
      <c r="D20" s="7">
        <f t="shared" ca="1" si="5"/>
        <v>1</v>
      </c>
      <c r="E20" s="7" t="e">
        <f t="shared" ca="1" si="6"/>
        <v>#REF!</v>
      </c>
      <c r="F20" s="7" t="e">
        <f t="shared" ca="1" si="7"/>
        <v>#REF!</v>
      </c>
      <c r="G20" s="7" t="e">
        <f t="shared" ca="1" si="8"/>
        <v>#REF!</v>
      </c>
      <c r="H20" s="7"/>
      <c r="I20" s="7"/>
      <c r="J20" s="6" t="s">
        <v>1357</v>
      </c>
      <c r="K20" s="6" t="e">
        <f t="shared" ca="1" si="0"/>
        <v>#REF!</v>
      </c>
      <c r="L20" s="6" t="e">
        <f t="shared" ca="1" si="1"/>
        <v>#REF!</v>
      </c>
      <c r="M20" s="1" t="e">
        <f t="shared" ca="1" si="9"/>
        <v>#REF!</v>
      </c>
      <c r="N20" s="1" t="e">
        <f t="shared" ca="1" si="2"/>
        <v>#REF!</v>
      </c>
      <c r="O20" s="1" t="e">
        <f t="shared" ca="1" si="3"/>
        <v>#REF!</v>
      </c>
      <c r="P20" s="1" t="e">
        <f t="shared" ca="1" si="4"/>
        <v>#REF!</v>
      </c>
    </row>
    <row r="21" spans="1:16">
      <c r="A21" s="7"/>
      <c r="C21" s="2" t="s">
        <v>878</v>
      </c>
      <c r="D21" s="7">
        <f t="shared" ca="1" si="5"/>
        <v>1</v>
      </c>
      <c r="E21" s="7" t="e">
        <f t="shared" ca="1" si="6"/>
        <v>#REF!</v>
      </c>
      <c r="F21" s="7" t="e">
        <f t="shared" ca="1" si="7"/>
        <v>#REF!</v>
      </c>
      <c r="G21" s="7" t="e">
        <f t="shared" ca="1" si="8"/>
        <v>#REF!</v>
      </c>
      <c r="H21" s="7"/>
      <c r="I21" s="7"/>
      <c r="J21" s="6" t="s">
        <v>1357</v>
      </c>
      <c r="K21" s="6" t="e">
        <f t="shared" ca="1" si="0"/>
        <v>#REF!</v>
      </c>
      <c r="L21" s="6" t="e">
        <f t="shared" ca="1" si="1"/>
        <v>#REF!</v>
      </c>
      <c r="M21" s="1" t="e">
        <f t="shared" ca="1" si="9"/>
        <v>#REF!</v>
      </c>
      <c r="N21" s="1" t="e">
        <f t="shared" ca="1" si="2"/>
        <v>#REF!</v>
      </c>
      <c r="O21" s="1" t="e">
        <f t="shared" ca="1" si="3"/>
        <v>#REF!</v>
      </c>
      <c r="P21" s="1" t="e">
        <f t="shared" ca="1" si="4"/>
        <v>#REF!</v>
      </c>
    </row>
    <row r="22" spans="1:16">
      <c r="A22" s="7"/>
      <c r="C22" s="2" t="s">
        <v>4191</v>
      </c>
      <c r="D22" s="7">
        <f t="shared" ca="1" si="5"/>
        <v>1</v>
      </c>
      <c r="E22" s="7" t="e">
        <f t="shared" ca="1" si="6"/>
        <v>#REF!</v>
      </c>
      <c r="F22" s="7" t="e">
        <f t="shared" ca="1" si="7"/>
        <v>#REF!</v>
      </c>
      <c r="G22" s="7" t="e">
        <f t="shared" ca="1" si="8"/>
        <v>#REF!</v>
      </c>
      <c r="H22" s="7"/>
      <c r="I22" s="7"/>
      <c r="J22" s="6" t="s">
        <v>1357</v>
      </c>
      <c r="K22" s="6" t="e">
        <f t="shared" ca="1" si="0"/>
        <v>#REF!</v>
      </c>
      <c r="L22" s="6" t="e">
        <f t="shared" ca="1" si="1"/>
        <v>#REF!</v>
      </c>
      <c r="M22" s="1" t="e">
        <f t="shared" ca="1" si="9"/>
        <v>#REF!</v>
      </c>
      <c r="N22" s="1" t="e">
        <f t="shared" ca="1" si="2"/>
        <v>#REF!</v>
      </c>
      <c r="O22" s="1" t="e">
        <f t="shared" ca="1" si="3"/>
        <v>#REF!</v>
      </c>
      <c r="P22" s="1" t="e">
        <f t="shared" ca="1" si="4"/>
        <v>#REF!</v>
      </c>
    </row>
    <row r="23" spans="1:16">
      <c r="A23" s="7"/>
      <c r="C23" s="2" t="s">
        <v>879</v>
      </c>
      <c r="D23" s="7">
        <f t="shared" ca="1" si="5"/>
        <v>1</v>
      </c>
      <c r="E23" s="7" t="e">
        <f t="shared" ca="1" si="6"/>
        <v>#REF!</v>
      </c>
      <c r="F23" s="7" t="e">
        <f t="shared" ca="1" si="7"/>
        <v>#REF!</v>
      </c>
      <c r="G23" s="7" t="e">
        <f t="shared" ca="1" si="8"/>
        <v>#REF!</v>
      </c>
      <c r="H23" s="7"/>
      <c r="I23" s="7"/>
      <c r="J23" s="6" t="s">
        <v>1357</v>
      </c>
      <c r="K23" s="6" t="e">
        <f t="shared" ca="1" si="0"/>
        <v>#REF!</v>
      </c>
      <c r="L23" s="6" t="e">
        <f t="shared" ca="1" si="1"/>
        <v>#REF!</v>
      </c>
      <c r="M23" s="1" t="e">
        <f t="shared" ca="1" si="9"/>
        <v>#REF!</v>
      </c>
      <c r="N23" s="1" t="e">
        <f t="shared" ca="1" si="2"/>
        <v>#REF!</v>
      </c>
      <c r="O23" s="1" t="e">
        <f t="shared" ca="1" si="3"/>
        <v>#REF!</v>
      </c>
      <c r="P23" s="1" t="e">
        <f t="shared" ca="1" si="4"/>
        <v>#REF!</v>
      </c>
    </row>
    <row r="24" spans="1:16">
      <c r="A24" s="7"/>
      <c r="C24" s="2" t="s">
        <v>880</v>
      </c>
      <c r="D24" s="7">
        <f t="shared" ca="1" si="5"/>
        <v>1</v>
      </c>
      <c r="E24" s="7" t="e">
        <f t="shared" ca="1" si="6"/>
        <v>#REF!</v>
      </c>
      <c r="F24" s="7" t="e">
        <f t="shared" ca="1" si="7"/>
        <v>#REF!</v>
      </c>
      <c r="G24" s="7" t="e">
        <f t="shared" ca="1" si="8"/>
        <v>#REF!</v>
      </c>
      <c r="H24" s="7"/>
      <c r="I24" s="7"/>
      <c r="J24" s="6" t="s">
        <v>1357</v>
      </c>
      <c r="K24" s="6" t="e">
        <f t="shared" ca="1" si="0"/>
        <v>#REF!</v>
      </c>
      <c r="L24" s="6" t="e">
        <f t="shared" ca="1" si="1"/>
        <v>#REF!</v>
      </c>
      <c r="M24" s="1" t="e">
        <f t="shared" ca="1" si="9"/>
        <v>#REF!</v>
      </c>
      <c r="N24" s="1" t="e">
        <f t="shared" ca="1" si="2"/>
        <v>#REF!</v>
      </c>
      <c r="O24" s="1" t="e">
        <f t="shared" ca="1" si="3"/>
        <v>#REF!</v>
      </c>
      <c r="P24" s="1" t="e">
        <f t="shared" ca="1" si="4"/>
        <v>#REF!</v>
      </c>
    </row>
    <row r="25" spans="1:16">
      <c r="A25" s="7"/>
      <c r="C25" s="2" t="s">
        <v>4192</v>
      </c>
      <c r="D25" s="7">
        <f t="shared" ca="1" si="5"/>
        <v>1</v>
      </c>
      <c r="E25" s="7" t="e">
        <f t="shared" ca="1" si="6"/>
        <v>#REF!</v>
      </c>
      <c r="F25" s="7" t="e">
        <f t="shared" ca="1" si="7"/>
        <v>#REF!</v>
      </c>
      <c r="G25" s="7" t="e">
        <f t="shared" ca="1" si="8"/>
        <v>#REF!</v>
      </c>
      <c r="H25" s="7"/>
      <c r="I25" s="7"/>
      <c r="J25" s="6" t="s">
        <v>1357</v>
      </c>
      <c r="K25" s="6" t="e">
        <f t="shared" ca="1" si="0"/>
        <v>#REF!</v>
      </c>
      <c r="L25" s="6" t="e">
        <f t="shared" ca="1" si="1"/>
        <v>#REF!</v>
      </c>
      <c r="M25" s="1" t="e">
        <f t="shared" ca="1" si="9"/>
        <v>#REF!</v>
      </c>
      <c r="N25" s="1" t="e">
        <f t="shared" ca="1" si="2"/>
        <v>#REF!</v>
      </c>
      <c r="O25" s="1" t="e">
        <f t="shared" ca="1" si="3"/>
        <v>#REF!</v>
      </c>
      <c r="P25" s="1" t="e">
        <f t="shared" ca="1" si="4"/>
        <v>#REF!</v>
      </c>
    </row>
    <row r="26" spans="1:16">
      <c r="A26" s="7"/>
      <c r="C26" s="2" t="s">
        <v>881</v>
      </c>
      <c r="D26" s="7">
        <f t="shared" ca="1" si="5"/>
        <v>1</v>
      </c>
      <c r="E26" s="7" t="e">
        <f t="shared" ca="1" si="6"/>
        <v>#REF!</v>
      </c>
      <c r="F26" s="7" t="e">
        <f t="shared" ca="1" si="7"/>
        <v>#REF!</v>
      </c>
      <c r="G26" s="7" t="e">
        <f t="shared" ca="1" si="8"/>
        <v>#REF!</v>
      </c>
      <c r="H26" s="7"/>
      <c r="I26" s="7"/>
      <c r="J26" s="6" t="s">
        <v>1357</v>
      </c>
      <c r="K26" s="6" t="e">
        <f t="shared" ca="1" si="0"/>
        <v>#REF!</v>
      </c>
      <c r="L26" s="6" t="e">
        <f t="shared" ca="1" si="1"/>
        <v>#REF!</v>
      </c>
      <c r="M26" s="1" t="e">
        <f t="shared" ca="1" si="9"/>
        <v>#REF!</v>
      </c>
      <c r="N26" s="1" t="e">
        <f t="shared" ca="1" si="2"/>
        <v>#REF!</v>
      </c>
      <c r="O26" s="1" t="e">
        <f t="shared" ca="1" si="3"/>
        <v>#REF!</v>
      </c>
      <c r="P26" s="1" t="e">
        <f t="shared" ca="1" si="4"/>
        <v>#REF!</v>
      </c>
    </row>
    <row r="27" spans="1:16">
      <c r="A27" s="7"/>
      <c r="C27" s="2" t="s">
        <v>882</v>
      </c>
      <c r="D27" s="7">
        <f t="shared" ca="1" si="5"/>
        <v>1</v>
      </c>
      <c r="E27" s="7" t="e">
        <f t="shared" ca="1" si="6"/>
        <v>#REF!</v>
      </c>
      <c r="F27" s="7" t="e">
        <f t="shared" ca="1" si="7"/>
        <v>#REF!</v>
      </c>
      <c r="G27" s="7" t="e">
        <f t="shared" ca="1" si="8"/>
        <v>#REF!</v>
      </c>
      <c r="H27" s="7"/>
      <c r="I27" s="7"/>
      <c r="J27" s="6" t="s">
        <v>1357</v>
      </c>
      <c r="K27" s="6" t="e">
        <f t="shared" ca="1" si="0"/>
        <v>#REF!</v>
      </c>
      <c r="L27" s="6" t="e">
        <f t="shared" ca="1" si="1"/>
        <v>#REF!</v>
      </c>
      <c r="M27" s="1" t="e">
        <f t="shared" ca="1" si="9"/>
        <v>#REF!</v>
      </c>
      <c r="N27" s="1" t="e">
        <f t="shared" ca="1" si="2"/>
        <v>#REF!</v>
      </c>
      <c r="O27" s="1" t="e">
        <f t="shared" ca="1" si="3"/>
        <v>#REF!</v>
      </c>
      <c r="P27" s="1" t="e">
        <f t="shared" ca="1" si="4"/>
        <v>#REF!</v>
      </c>
    </row>
    <row r="28" spans="1:16">
      <c r="A28" s="7"/>
      <c r="C28" s="2" t="s">
        <v>4193</v>
      </c>
      <c r="D28" s="7">
        <f t="shared" ca="1" si="5"/>
        <v>1</v>
      </c>
      <c r="E28" s="7" t="e">
        <f t="shared" ca="1" si="6"/>
        <v>#REF!</v>
      </c>
      <c r="F28" s="7" t="e">
        <f t="shared" ca="1" si="7"/>
        <v>#REF!</v>
      </c>
      <c r="G28" s="7" t="e">
        <f t="shared" ca="1" si="8"/>
        <v>#REF!</v>
      </c>
      <c r="H28" s="7"/>
      <c r="I28" s="7"/>
      <c r="J28" s="6" t="s">
        <v>1357</v>
      </c>
      <c r="K28" s="6" t="e">
        <f t="shared" ca="1" si="0"/>
        <v>#REF!</v>
      </c>
      <c r="L28" s="6" t="e">
        <f t="shared" ca="1" si="1"/>
        <v>#REF!</v>
      </c>
      <c r="M28" s="1" t="e">
        <f t="shared" ca="1" si="9"/>
        <v>#REF!</v>
      </c>
      <c r="N28" s="1" t="e">
        <f t="shared" ca="1" si="2"/>
        <v>#REF!</v>
      </c>
      <c r="O28" s="1" t="e">
        <f t="shared" ca="1" si="3"/>
        <v>#REF!</v>
      </c>
      <c r="P28" s="1" t="e">
        <f t="shared" ca="1" si="4"/>
        <v>#REF!</v>
      </c>
    </row>
    <row r="29" spans="1:16">
      <c r="A29" s="7"/>
      <c r="C29" s="2" t="s">
        <v>4194</v>
      </c>
      <c r="D29" s="7">
        <f t="shared" ca="1" si="5"/>
        <v>1</v>
      </c>
      <c r="E29" s="7" t="e">
        <f t="shared" ca="1" si="6"/>
        <v>#REF!</v>
      </c>
      <c r="F29" s="7" t="e">
        <f t="shared" ca="1" si="7"/>
        <v>#REF!</v>
      </c>
      <c r="G29" s="7" t="e">
        <f t="shared" ca="1" si="8"/>
        <v>#REF!</v>
      </c>
      <c r="H29" s="7"/>
      <c r="I29" s="7"/>
      <c r="J29" s="6" t="s">
        <v>1357</v>
      </c>
      <c r="K29" s="6" t="e">
        <f t="shared" ca="1" si="0"/>
        <v>#REF!</v>
      </c>
      <c r="L29" s="6" t="e">
        <f t="shared" ca="1" si="1"/>
        <v>#REF!</v>
      </c>
      <c r="M29" s="1" t="e">
        <f t="shared" ca="1" si="9"/>
        <v>#REF!</v>
      </c>
      <c r="N29" s="1" t="e">
        <f t="shared" ca="1" si="2"/>
        <v>#REF!</v>
      </c>
      <c r="O29" s="1" t="e">
        <f t="shared" ca="1" si="3"/>
        <v>#REF!</v>
      </c>
      <c r="P29" s="1" t="e">
        <f t="shared" ca="1" si="4"/>
        <v>#REF!</v>
      </c>
    </row>
    <row r="30" spans="1:16">
      <c r="A30" s="7"/>
      <c r="C30" s="2" t="s">
        <v>798</v>
      </c>
      <c r="D30" s="7">
        <f t="shared" ca="1" si="5"/>
        <v>1</v>
      </c>
      <c r="E30" s="7" t="e">
        <f t="shared" ca="1" si="6"/>
        <v>#REF!</v>
      </c>
      <c r="F30" s="7" t="e">
        <f t="shared" ca="1" si="7"/>
        <v>#REF!</v>
      </c>
      <c r="G30" s="7" t="e">
        <f t="shared" ca="1" si="8"/>
        <v>#REF!</v>
      </c>
      <c r="H30" s="7"/>
      <c r="I30" s="7"/>
      <c r="J30" s="6" t="s">
        <v>1357</v>
      </c>
      <c r="K30" s="6" t="e">
        <f t="shared" ca="1" si="0"/>
        <v>#REF!</v>
      </c>
      <c r="L30" s="6" t="e">
        <f t="shared" ca="1" si="1"/>
        <v>#REF!</v>
      </c>
      <c r="M30" s="1" t="e">
        <f t="shared" ca="1" si="9"/>
        <v>#REF!</v>
      </c>
      <c r="N30" s="1" t="e">
        <f t="shared" ca="1" si="2"/>
        <v>#REF!</v>
      </c>
      <c r="O30" s="1" t="e">
        <f t="shared" ca="1" si="3"/>
        <v>#REF!</v>
      </c>
      <c r="P30" s="1" t="e">
        <f t="shared" ca="1" si="4"/>
        <v>#REF!</v>
      </c>
    </row>
    <row r="31" spans="1:16">
      <c r="A31" s="7"/>
      <c r="C31" s="2" t="s">
        <v>948</v>
      </c>
      <c r="D31" s="7">
        <f t="shared" ca="1" si="5"/>
        <v>1</v>
      </c>
      <c r="E31" s="7" t="e">
        <f t="shared" ca="1" si="6"/>
        <v>#REF!</v>
      </c>
      <c r="F31" s="7" t="e">
        <f t="shared" ca="1" si="7"/>
        <v>#REF!</v>
      </c>
      <c r="G31" s="7" t="e">
        <f t="shared" ca="1" si="8"/>
        <v>#REF!</v>
      </c>
      <c r="H31" s="7"/>
      <c r="I31" s="7"/>
      <c r="J31" s="6" t="s">
        <v>1357</v>
      </c>
      <c r="K31" s="6" t="e">
        <f t="shared" ca="1" si="0"/>
        <v>#REF!</v>
      </c>
      <c r="L31" s="6" t="e">
        <f t="shared" ca="1" si="1"/>
        <v>#REF!</v>
      </c>
      <c r="M31" s="1" t="e">
        <f t="shared" ca="1" si="9"/>
        <v>#REF!</v>
      </c>
      <c r="N31" s="1" t="e">
        <f t="shared" ca="1" si="2"/>
        <v>#REF!</v>
      </c>
      <c r="O31" s="1" t="e">
        <f t="shared" ca="1" si="3"/>
        <v>#REF!</v>
      </c>
      <c r="P31" s="1" t="e">
        <f t="shared" ca="1" si="4"/>
        <v>#REF!</v>
      </c>
    </row>
    <row r="32" spans="1:16">
      <c r="A32" s="7"/>
      <c r="C32" s="2" t="s">
        <v>4195</v>
      </c>
      <c r="D32" s="7">
        <f t="shared" ca="1" si="5"/>
        <v>1</v>
      </c>
      <c r="E32" s="7" t="e">
        <f t="shared" ca="1" si="6"/>
        <v>#REF!</v>
      </c>
      <c r="F32" s="7" t="e">
        <f t="shared" ca="1" si="7"/>
        <v>#REF!</v>
      </c>
      <c r="G32" s="7" t="e">
        <f t="shared" ca="1" si="8"/>
        <v>#REF!</v>
      </c>
      <c r="H32" s="7"/>
      <c r="I32" s="7"/>
      <c r="J32" s="6" t="s">
        <v>1357</v>
      </c>
      <c r="K32" s="6" t="e">
        <f t="shared" ca="1" si="0"/>
        <v>#REF!</v>
      </c>
      <c r="L32" s="6" t="e">
        <f t="shared" ca="1" si="1"/>
        <v>#REF!</v>
      </c>
      <c r="M32" s="1" t="e">
        <f t="shared" ca="1" si="9"/>
        <v>#REF!</v>
      </c>
      <c r="N32" s="1" t="e">
        <f t="shared" ca="1" si="2"/>
        <v>#REF!</v>
      </c>
      <c r="O32" s="1" t="e">
        <f t="shared" ca="1" si="3"/>
        <v>#REF!</v>
      </c>
      <c r="P32" s="1" t="e">
        <f t="shared" ca="1" si="4"/>
        <v>#REF!</v>
      </c>
    </row>
    <row r="33" spans="1:16">
      <c r="A33" s="7"/>
      <c r="C33" s="2" t="s">
        <v>4196</v>
      </c>
      <c r="D33" s="7">
        <f t="shared" ca="1" si="5"/>
        <v>1</v>
      </c>
      <c r="E33" s="7" t="e">
        <f t="shared" ca="1" si="6"/>
        <v>#REF!</v>
      </c>
      <c r="F33" s="7" t="e">
        <f t="shared" ca="1" si="7"/>
        <v>#REF!</v>
      </c>
      <c r="G33" s="7" t="e">
        <f t="shared" ca="1" si="8"/>
        <v>#REF!</v>
      </c>
      <c r="H33" s="7"/>
      <c r="I33" s="7"/>
      <c r="J33" s="6" t="s">
        <v>1357</v>
      </c>
      <c r="K33" s="6" t="e">
        <f t="shared" ca="1" si="0"/>
        <v>#REF!</v>
      </c>
      <c r="L33" s="6" t="e">
        <f t="shared" ca="1" si="1"/>
        <v>#REF!</v>
      </c>
      <c r="M33" s="1" t="e">
        <f t="shared" ca="1" si="9"/>
        <v>#REF!</v>
      </c>
      <c r="N33" s="1" t="e">
        <f t="shared" ca="1" si="2"/>
        <v>#REF!</v>
      </c>
      <c r="O33" s="1" t="e">
        <f t="shared" ca="1" si="3"/>
        <v>#REF!</v>
      </c>
      <c r="P33" s="1" t="e">
        <f t="shared" ca="1" si="4"/>
        <v>#REF!</v>
      </c>
    </row>
    <row r="34" spans="1:16">
      <c r="A34" s="7"/>
      <c r="C34" s="2" t="s">
        <v>949</v>
      </c>
      <c r="D34" s="7">
        <f t="shared" ca="1" si="5"/>
        <v>1</v>
      </c>
      <c r="E34" s="7" t="e">
        <f t="shared" ca="1" si="6"/>
        <v>#REF!</v>
      </c>
      <c r="F34" s="7" t="e">
        <f t="shared" ca="1" si="7"/>
        <v>#REF!</v>
      </c>
      <c r="G34" s="7" t="e">
        <f t="shared" ca="1" si="8"/>
        <v>#REF!</v>
      </c>
      <c r="H34" s="7"/>
      <c r="I34" s="7"/>
      <c r="J34" s="6" t="s">
        <v>1357</v>
      </c>
      <c r="K34" s="6" t="e">
        <f t="shared" ca="1" si="0"/>
        <v>#REF!</v>
      </c>
      <c r="L34" s="6" t="e">
        <f t="shared" ca="1" si="1"/>
        <v>#REF!</v>
      </c>
      <c r="M34" s="1" t="e">
        <f t="shared" ca="1" si="9"/>
        <v>#REF!</v>
      </c>
      <c r="N34" s="1" t="e">
        <f t="shared" ca="1" si="2"/>
        <v>#REF!</v>
      </c>
      <c r="O34" s="1" t="e">
        <f t="shared" ca="1" si="3"/>
        <v>#REF!</v>
      </c>
      <c r="P34" s="1" t="e">
        <f t="shared" ca="1" si="4"/>
        <v>#REF!</v>
      </c>
    </row>
    <row r="35" spans="1:16">
      <c r="A35" s="7"/>
      <c r="B35" s="2" t="s">
        <v>4197</v>
      </c>
      <c r="C35" s="2" t="s">
        <v>4198</v>
      </c>
      <c r="D35" s="7"/>
      <c r="E35" s="7"/>
      <c r="F35" s="7"/>
      <c r="G35" s="7"/>
      <c r="H35" s="7"/>
      <c r="I35" s="7"/>
      <c r="J35" s="6" t="s">
        <v>1357</v>
      </c>
      <c r="K35" s="6" t="e">
        <f t="shared" ca="1" si="0"/>
        <v>#REF!</v>
      </c>
      <c r="L35" s="6" t="e">
        <f t="shared" ca="1" si="1"/>
        <v>#REF!</v>
      </c>
      <c r="M35" s="1" t="e">
        <f t="shared" ca="1" si="9"/>
        <v>#REF!</v>
      </c>
      <c r="N35" s="1" t="e">
        <f t="shared" ca="1" si="2"/>
        <v>#REF!</v>
      </c>
      <c r="O35" s="1" t="e">
        <f t="shared" ca="1" si="3"/>
        <v>#REF!</v>
      </c>
      <c r="P35" s="1" t="e">
        <f t="shared" ca="1" si="4"/>
        <v>#REF!</v>
      </c>
    </row>
    <row r="36" spans="1:16">
      <c r="A36" s="7"/>
      <c r="C36" s="2" t="s">
        <v>4199</v>
      </c>
      <c r="D36" s="7"/>
      <c r="E36" s="7"/>
      <c r="F36" s="7"/>
      <c r="G36" s="7"/>
      <c r="H36" s="7"/>
      <c r="I36" s="7"/>
      <c r="J36" s="6" t="s">
        <v>1357</v>
      </c>
      <c r="K36" s="6" t="e">
        <f t="shared" ca="1" si="0"/>
        <v>#REF!</v>
      </c>
      <c r="L36" s="6" t="e">
        <f t="shared" ca="1" si="1"/>
        <v>#REF!</v>
      </c>
      <c r="M36" s="1" t="e">
        <f t="shared" ca="1" si="9"/>
        <v>#REF!</v>
      </c>
      <c r="N36" s="1" t="e">
        <f t="shared" ca="1" si="2"/>
        <v>#REF!</v>
      </c>
      <c r="O36" s="1" t="e">
        <f t="shared" ca="1" si="3"/>
        <v>#REF!</v>
      </c>
      <c r="P36" s="1" t="e">
        <f t="shared" ca="1" si="4"/>
        <v>#REF!</v>
      </c>
    </row>
    <row r="37" spans="1:16">
      <c r="A37" s="7"/>
      <c r="C37" s="2" t="s">
        <v>4200</v>
      </c>
      <c r="D37" s="7"/>
      <c r="E37" s="7"/>
      <c r="F37" s="7"/>
      <c r="G37" s="7"/>
      <c r="H37" s="7"/>
      <c r="I37" s="7"/>
      <c r="J37" s="6" t="s">
        <v>1357</v>
      </c>
      <c r="K37" s="6" t="e">
        <f t="shared" ca="1" si="0"/>
        <v>#REF!</v>
      </c>
      <c r="L37" s="6" t="e">
        <f t="shared" ca="1" si="1"/>
        <v>#REF!</v>
      </c>
      <c r="M37" s="1" t="e">
        <f t="shared" ca="1" si="9"/>
        <v>#REF!</v>
      </c>
      <c r="N37" s="1" t="e">
        <f t="shared" ca="1" si="2"/>
        <v>#REF!</v>
      </c>
      <c r="O37" s="1" t="e">
        <f t="shared" ca="1" si="3"/>
        <v>#REF!</v>
      </c>
      <c r="P37" s="1" t="e">
        <f t="shared" ca="1" si="4"/>
        <v>#REF!</v>
      </c>
    </row>
    <row r="38" spans="1:16">
      <c r="A38" s="7"/>
      <c r="C38" s="2" t="s">
        <v>4201</v>
      </c>
      <c r="D38" s="7"/>
      <c r="E38" s="7"/>
      <c r="F38" s="7"/>
      <c r="G38" s="7"/>
      <c r="H38" s="7"/>
      <c r="I38" s="7"/>
      <c r="J38" s="6" t="s">
        <v>1357</v>
      </c>
      <c r="K38" s="6" t="e">
        <f t="shared" ca="1" si="0"/>
        <v>#REF!</v>
      </c>
      <c r="L38" s="6" t="e">
        <f t="shared" ca="1" si="1"/>
        <v>#REF!</v>
      </c>
      <c r="M38" s="1" t="e">
        <f t="shared" ca="1" si="9"/>
        <v>#REF!</v>
      </c>
      <c r="N38" s="1" t="e">
        <f t="shared" ca="1" si="2"/>
        <v>#REF!</v>
      </c>
      <c r="O38" s="1" t="e">
        <f t="shared" ca="1" si="3"/>
        <v>#REF!</v>
      </c>
      <c r="P38" s="1" t="e">
        <f t="shared" ca="1" si="4"/>
        <v>#REF!</v>
      </c>
    </row>
    <row r="39" spans="1:16">
      <c r="A39" s="7"/>
      <c r="B39" s="2" t="s">
        <v>4202</v>
      </c>
      <c r="C39" s="2" t="s">
        <v>963</v>
      </c>
      <c r="D39" s="7">
        <f t="shared" ca="1" si="5"/>
        <v>1</v>
      </c>
      <c r="E39" s="7" t="e">
        <f t="shared" ca="1" si="6"/>
        <v>#REF!</v>
      </c>
      <c r="F39" s="7" t="e">
        <f t="shared" ca="1" si="7"/>
        <v>#REF!</v>
      </c>
      <c r="G39" s="7" t="e">
        <f t="shared" ca="1" si="8"/>
        <v>#REF!</v>
      </c>
      <c r="H39" s="7"/>
      <c r="I39" s="7"/>
      <c r="J39" s="1" t="s">
        <v>1356</v>
      </c>
      <c r="K39" s="6" t="e">
        <f t="shared" ca="1" si="0"/>
        <v>#REF!</v>
      </c>
      <c r="L39" s="6" t="e">
        <f t="shared" ca="1" si="1"/>
        <v>#REF!</v>
      </c>
      <c r="M39" s="1" t="e">
        <f t="shared" ca="1" si="9"/>
        <v>#REF!</v>
      </c>
      <c r="N39" s="1" t="e">
        <f t="shared" ca="1" si="2"/>
        <v>#REF!</v>
      </c>
      <c r="O39" s="1" t="e">
        <f t="shared" ca="1" si="3"/>
        <v>#REF!</v>
      </c>
      <c r="P39" s="1" t="e">
        <f t="shared" ca="1" si="4"/>
        <v>#REF!</v>
      </c>
    </row>
    <row r="40" spans="1:16">
      <c r="A40" s="7"/>
      <c r="C40" s="2" t="s">
        <v>4203</v>
      </c>
      <c r="D40" s="7">
        <f t="shared" ca="1" si="5"/>
        <v>1</v>
      </c>
      <c r="E40" s="7" t="e">
        <f t="shared" ca="1" si="6"/>
        <v>#REF!</v>
      </c>
      <c r="F40" s="7" t="e">
        <f t="shared" ca="1" si="7"/>
        <v>#REF!</v>
      </c>
      <c r="G40" s="7" t="e">
        <f t="shared" ca="1" si="8"/>
        <v>#REF!</v>
      </c>
      <c r="H40" s="7"/>
      <c r="I40" s="7"/>
      <c r="J40" s="1" t="s">
        <v>1356</v>
      </c>
      <c r="K40" s="6" t="e">
        <f t="shared" ca="1" si="0"/>
        <v>#REF!</v>
      </c>
      <c r="L40" s="6" t="e">
        <f t="shared" ca="1" si="1"/>
        <v>#REF!</v>
      </c>
      <c r="M40" s="1" t="e">
        <f t="shared" ca="1" si="9"/>
        <v>#REF!</v>
      </c>
      <c r="N40" s="1" t="e">
        <f t="shared" ca="1" si="2"/>
        <v>#REF!</v>
      </c>
      <c r="O40" s="1" t="e">
        <f t="shared" ca="1" si="3"/>
        <v>#REF!</v>
      </c>
      <c r="P40" s="1" t="e">
        <f t="shared" ca="1" si="4"/>
        <v>#REF!</v>
      </c>
    </row>
    <row r="41" spans="1:16">
      <c r="A41" s="7"/>
      <c r="B41" s="7"/>
      <c r="C41" s="2" t="s">
        <v>4204</v>
      </c>
      <c r="D41" s="7">
        <f t="shared" ca="1" si="5"/>
        <v>1</v>
      </c>
      <c r="E41" s="7" t="e">
        <f t="shared" ca="1" si="6"/>
        <v>#REF!</v>
      </c>
      <c r="F41" s="7" t="e">
        <f t="shared" ca="1" si="7"/>
        <v>#REF!</v>
      </c>
      <c r="G41" s="7" t="e">
        <f t="shared" ca="1" si="8"/>
        <v>#REF!</v>
      </c>
      <c r="H41" s="7"/>
      <c r="I41" s="7"/>
      <c r="J41" s="1" t="s">
        <v>1356</v>
      </c>
      <c r="K41" s="6" t="e">
        <f t="shared" ca="1" si="0"/>
        <v>#REF!</v>
      </c>
      <c r="L41" s="6" t="e">
        <f t="shared" ca="1" si="1"/>
        <v>#REF!</v>
      </c>
      <c r="M41" s="1" t="e">
        <f t="shared" ca="1" si="9"/>
        <v>#REF!</v>
      </c>
      <c r="N41" s="1" t="e">
        <f t="shared" ca="1" si="2"/>
        <v>#REF!</v>
      </c>
      <c r="O41" s="1" t="e">
        <f t="shared" ca="1" si="3"/>
        <v>#REF!</v>
      </c>
      <c r="P41" s="1" t="e">
        <f t="shared" ca="1" si="4"/>
        <v>#REF!</v>
      </c>
    </row>
    <row r="42" spans="1:16">
      <c r="A42" s="7"/>
      <c r="B42" s="7"/>
      <c r="C42" s="2" t="s">
        <v>4205</v>
      </c>
      <c r="D42" s="7">
        <f t="shared" ca="1" si="5"/>
        <v>1</v>
      </c>
      <c r="E42" s="7" t="e">
        <f t="shared" ca="1" si="6"/>
        <v>#REF!</v>
      </c>
      <c r="F42" s="7" t="e">
        <f t="shared" ca="1" si="7"/>
        <v>#REF!</v>
      </c>
      <c r="G42" s="7" t="e">
        <f t="shared" ca="1" si="8"/>
        <v>#REF!</v>
      </c>
      <c r="H42" s="7"/>
      <c r="I42" s="7"/>
      <c r="J42" s="1" t="s">
        <v>1356</v>
      </c>
      <c r="K42" s="6" t="e">
        <f t="shared" ca="1" si="0"/>
        <v>#REF!</v>
      </c>
      <c r="L42" s="6" t="e">
        <f t="shared" ca="1" si="1"/>
        <v>#REF!</v>
      </c>
      <c r="M42" s="1" t="e">
        <f t="shared" ca="1" si="9"/>
        <v>#REF!</v>
      </c>
      <c r="N42" s="1" t="e">
        <f t="shared" ca="1" si="2"/>
        <v>#REF!</v>
      </c>
      <c r="O42" s="1" t="e">
        <f t="shared" ca="1" si="3"/>
        <v>#REF!</v>
      </c>
      <c r="P42" s="1" t="e">
        <f t="shared" ca="1" si="4"/>
        <v>#REF!</v>
      </c>
    </row>
    <row r="43" spans="1:16">
      <c r="A43" s="7"/>
      <c r="B43" s="7"/>
      <c r="C43" s="2" t="s">
        <v>376</v>
      </c>
      <c r="D43" s="7">
        <f t="shared" ca="1" si="5"/>
        <v>1</v>
      </c>
      <c r="E43" s="7" t="e">
        <f t="shared" ca="1" si="6"/>
        <v>#REF!</v>
      </c>
      <c r="F43" s="7" t="e">
        <f t="shared" ca="1" si="7"/>
        <v>#REF!</v>
      </c>
      <c r="G43" s="7" t="e">
        <f t="shared" ca="1" si="8"/>
        <v>#REF!</v>
      </c>
      <c r="H43" s="7"/>
      <c r="I43" s="7"/>
      <c r="J43" s="1" t="s">
        <v>1356</v>
      </c>
      <c r="K43" s="6" t="e">
        <f t="shared" ca="1" si="0"/>
        <v>#REF!</v>
      </c>
      <c r="L43" s="6" t="e">
        <f t="shared" ca="1" si="1"/>
        <v>#REF!</v>
      </c>
      <c r="M43" s="1" t="e">
        <f t="shared" ca="1" si="9"/>
        <v>#REF!</v>
      </c>
      <c r="N43" s="1" t="e">
        <f t="shared" ca="1" si="2"/>
        <v>#REF!</v>
      </c>
      <c r="O43" s="1" t="e">
        <f t="shared" ca="1" si="3"/>
        <v>#REF!</v>
      </c>
      <c r="P43" s="1" t="e">
        <f t="shared" ca="1" si="4"/>
        <v>#REF!</v>
      </c>
    </row>
    <row r="44" spans="1:16">
      <c r="A44" s="7"/>
      <c r="B44" s="7"/>
      <c r="C44" s="2" t="s">
        <v>964</v>
      </c>
      <c r="D44" s="7">
        <f t="shared" ca="1" si="5"/>
        <v>1</v>
      </c>
      <c r="E44" s="7" t="e">
        <f t="shared" ca="1" si="6"/>
        <v>#REF!</v>
      </c>
      <c r="F44" s="7" t="e">
        <f t="shared" ca="1" si="7"/>
        <v>#REF!</v>
      </c>
      <c r="G44" s="7" t="e">
        <f t="shared" ca="1" si="8"/>
        <v>#REF!</v>
      </c>
      <c r="H44" s="7"/>
      <c r="I44" s="7"/>
      <c r="J44" s="1" t="s">
        <v>1356</v>
      </c>
      <c r="K44" s="6" t="e">
        <f t="shared" ca="1" si="0"/>
        <v>#REF!</v>
      </c>
      <c r="L44" s="6" t="e">
        <f t="shared" ca="1" si="1"/>
        <v>#REF!</v>
      </c>
      <c r="M44" s="1" t="e">
        <f t="shared" ca="1" si="9"/>
        <v>#REF!</v>
      </c>
      <c r="N44" s="1" t="e">
        <f t="shared" ca="1" si="2"/>
        <v>#REF!</v>
      </c>
      <c r="O44" s="1" t="e">
        <f t="shared" ca="1" si="3"/>
        <v>#REF!</v>
      </c>
      <c r="P44" s="1" t="e">
        <f t="shared" ca="1" si="4"/>
        <v>#REF!</v>
      </c>
    </row>
    <row r="45" spans="1:16">
      <c r="A45" s="7"/>
      <c r="B45" s="7"/>
      <c r="C45" s="2" t="s">
        <v>4206</v>
      </c>
      <c r="D45" s="7">
        <f t="shared" ca="1" si="5"/>
        <v>1</v>
      </c>
      <c r="E45" s="7" t="e">
        <f t="shared" ca="1" si="6"/>
        <v>#REF!</v>
      </c>
      <c r="F45" s="7" t="e">
        <f t="shared" ca="1" si="7"/>
        <v>#REF!</v>
      </c>
      <c r="G45" s="7" t="e">
        <f t="shared" ca="1" si="8"/>
        <v>#REF!</v>
      </c>
      <c r="H45" s="7"/>
      <c r="I45" s="7"/>
      <c r="J45" s="1" t="s">
        <v>1356</v>
      </c>
      <c r="K45" s="6" t="e">
        <f t="shared" ca="1" si="0"/>
        <v>#REF!</v>
      </c>
      <c r="L45" s="6" t="e">
        <f t="shared" ca="1" si="1"/>
        <v>#REF!</v>
      </c>
      <c r="M45" s="1" t="e">
        <f t="shared" ca="1" si="9"/>
        <v>#REF!</v>
      </c>
      <c r="N45" s="1" t="e">
        <f t="shared" ca="1" si="2"/>
        <v>#REF!</v>
      </c>
      <c r="O45" s="1" t="e">
        <f t="shared" ca="1" si="3"/>
        <v>#REF!</v>
      </c>
      <c r="P45" s="1" t="e">
        <f t="shared" ca="1" si="4"/>
        <v>#REF!</v>
      </c>
    </row>
    <row r="46" spans="1:16">
      <c r="A46" s="7"/>
      <c r="B46" s="7"/>
      <c r="C46" s="2" t="s">
        <v>4207</v>
      </c>
      <c r="D46" s="7">
        <f t="shared" ca="1" si="5"/>
        <v>1</v>
      </c>
      <c r="E46" s="7" t="e">
        <f t="shared" ca="1" si="6"/>
        <v>#REF!</v>
      </c>
      <c r="F46" s="7" t="e">
        <f t="shared" ca="1" si="7"/>
        <v>#REF!</v>
      </c>
      <c r="G46" s="7" t="e">
        <f t="shared" ca="1" si="8"/>
        <v>#REF!</v>
      </c>
      <c r="H46" s="7"/>
      <c r="I46" s="7"/>
      <c r="J46" s="1" t="s">
        <v>1356</v>
      </c>
      <c r="K46" s="6" t="e">
        <f t="shared" ca="1" si="0"/>
        <v>#REF!</v>
      </c>
      <c r="L46" s="6" t="e">
        <f t="shared" ca="1" si="1"/>
        <v>#REF!</v>
      </c>
      <c r="M46" s="1" t="e">
        <f t="shared" ca="1" si="9"/>
        <v>#REF!</v>
      </c>
      <c r="N46" s="1" t="e">
        <f t="shared" ca="1" si="2"/>
        <v>#REF!</v>
      </c>
      <c r="O46" s="1" t="e">
        <f t="shared" ca="1" si="3"/>
        <v>#REF!</v>
      </c>
      <c r="P46" s="1" t="e">
        <f t="shared" ca="1" si="4"/>
        <v>#REF!</v>
      </c>
    </row>
    <row r="47" spans="1:16">
      <c r="A47" s="7"/>
      <c r="B47" s="7"/>
      <c r="C47" s="2" t="s">
        <v>965</v>
      </c>
      <c r="D47" s="7">
        <f t="shared" ca="1" si="5"/>
        <v>1</v>
      </c>
      <c r="E47" s="7" t="e">
        <f t="shared" ca="1" si="6"/>
        <v>#REF!</v>
      </c>
      <c r="F47" s="7" t="e">
        <f t="shared" ca="1" si="7"/>
        <v>#REF!</v>
      </c>
      <c r="G47" s="7" t="e">
        <f t="shared" ca="1" si="8"/>
        <v>#REF!</v>
      </c>
      <c r="H47" s="7"/>
      <c r="I47" s="7"/>
      <c r="J47" s="1" t="s">
        <v>1356</v>
      </c>
      <c r="K47" s="6" t="e">
        <f t="shared" ca="1" si="0"/>
        <v>#REF!</v>
      </c>
      <c r="L47" s="6" t="e">
        <f t="shared" ca="1" si="1"/>
        <v>#REF!</v>
      </c>
      <c r="M47" s="1" t="e">
        <f t="shared" ca="1" si="9"/>
        <v>#REF!</v>
      </c>
      <c r="N47" s="1" t="e">
        <f t="shared" ca="1" si="2"/>
        <v>#REF!</v>
      </c>
      <c r="O47" s="1" t="e">
        <f t="shared" ca="1" si="3"/>
        <v>#REF!</v>
      </c>
      <c r="P47" s="1" t="e">
        <f t="shared" ca="1" si="4"/>
        <v>#REF!</v>
      </c>
    </row>
    <row r="48" spans="1:16">
      <c r="A48" s="7"/>
      <c r="B48" s="7"/>
      <c r="C48" s="2" t="s">
        <v>201</v>
      </c>
      <c r="D48" s="7">
        <f t="shared" ca="1" si="5"/>
        <v>1</v>
      </c>
      <c r="E48" s="7" t="e">
        <f t="shared" ca="1" si="6"/>
        <v>#REF!</v>
      </c>
      <c r="F48" s="7" t="e">
        <f t="shared" ca="1" si="7"/>
        <v>#REF!</v>
      </c>
      <c r="G48" s="7" t="e">
        <f t="shared" ca="1" si="8"/>
        <v>#REF!</v>
      </c>
      <c r="H48" s="7"/>
      <c r="I48" s="7"/>
      <c r="J48" s="1" t="s">
        <v>1356</v>
      </c>
      <c r="K48" s="6" t="e">
        <f t="shared" ca="1" si="0"/>
        <v>#REF!</v>
      </c>
      <c r="L48" s="6" t="e">
        <f t="shared" ca="1" si="1"/>
        <v>#REF!</v>
      </c>
      <c r="M48" s="1" t="e">
        <f t="shared" ca="1" si="9"/>
        <v>#REF!</v>
      </c>
      <c r="N48" s="1" t="e">
        <f t="shared" ca="1" si="2"/>
        <v>#REF!</v>
      </c>
      <c r="O48" s="1" t="e">
        <f t="shared" ca="1" si="3"/>
        <v>#REF!</v>
      </c>
      <c r="P48" s="1" t="e">
        <f t="shared" ca="1" si="4"/>
        <v>#REF!</v>
      </c>
    </row>
    <row r="49" spans="1:16">
      <c r="A49" s="7"/>
      <c r="B49" s="7"/>
      <c r="C49" s="2" t="s">
        <v>4208</v>
      </c>
      <c r="D49" s="7">
        <f t="shared" ca="1" si="5"/>
        <v>1</v>
      </c>
      <c r="E49" s="7" t="e">
        <f t="shared" ca="1" si="6"/>
        <v>#REF!</v>
      </c>
      <c r="F49" s="7" t="e">
        <f t="shared" ca="1" si="7"/>
        <v>#REF!</v>
      </c>
      <c r="G49" s="7" t="e">
        <f t="shared" ca="1" si="8"/>
        <v>#REF!</v>
      </c>
      <c r="H49" s="7"/>
      <c r="I49" s="7"/>
      <c r="J49" s="1" t="s">
        <v>1356</v>
      </c>
      <c r="K49" s="6" t="e">
        <f t="shared" ca="1" si="0"/>
        <v>#REF!</v>
      </c>
      <c r="L49" s="6" t="e">
        <f t="shared" ca="1" si="1"/>
        <v>#REF!</v>
      </c>
      <c r="M49" s="1" t="e">
        <f t="shared" ca="1" si="9"/>
        <v>#REF!</v>
      </c>
      <c r="N49" s="1" t="e">
        <f t="shared" ca="1" si="2"/>
        <v>#REF!</v>
      </c>
      <c r="O49" s="1" t="e">
        <f t="shared" ca="1" si="3"/>
        <v>#REF!</v>
      </c>
      <c r="P49" s="1" t="e">
        <f t="shared" ca="1" si="4"/>
        <v>#REF!</v>
      </c>
    </row>
    <row r="50" spans="1:16">
      <c r="A50" s="7"/>
      <c r="B50" s="7"/>
      <c r="C50" s="2" t="s">
        <v>535</v>
      </c>
      <c r="D50" s="7">
        <f t="shared" ca="1" si="5"/>
        <v>1</v>
      </c>
      <c r="E50" s="7" t="e">
        <f t="shared" ca="1" si="6"/>
        <v>#REF!</v>
      </c>
      <c r="F50" s="7" t="e">
        <f t="shared" ca="1" si="7"/>
        <v>#REF!</v>
      </c>
      <c r="G50" s="7" t="e">
        <f t="shared" ca="1" si="8"/>
        <v>#REF!</v>
      </c>
      <c r="H50" s="7"/>
      <c r="I50" s="7"/>
      <c r="J50" s="1" t="s">
        <v>1356</v>
      </c>
      <c r="K50" s="6" t="e">
        <f t="shared" ca="1" si="0"/>
        <v>#REF!</v>
      </c>
      <c r="L50" s="6" t="e">
        <f t="shared" ca="1" si="1"/>
        <v>#REF!</v>
      </c>
      <c r="M50" s="1" t="e">
        <f t="shared" ca="1" si="9"/>
        <v>#REF!</v>
      </c>
      <c r="N50" s="1" t="e">
        <f t="shared" ca="1" si="2"/>
        <v>#REF!</v>
      </c>
      <c r="O50" s="1" t="e">
        <f t="shared" ca="1" si="3"/>
        <v>#REF!</v>
      </c>
      <c r="P50" s="1" t="e">
        <f t="shared" ca="1" si="4"/>
        <v>#REF!</v>
      </c>
    </row>
    <row r="51" spans="1:16">
      <c r="A51" s="7"/>
      <c r="B51" s="7"/>
      <c r="C51" s="2" t="s">
        <v>537</v>
      </c>
      <c r="D51" s="7">
        <f t="shared" ca="1" si="5"/>
        <v>1</v>
      </c>
      <c r="E51" s="7" t="e">
        <f t="shared" ca="1" si="6"/>
        <v>#REF!</v>
      </c>
      <c r="F51" s="7" t="e">
        <f t="shared" ca="1" si="7"/>
        <v>#REF!</v>
      </c>
      <c r="G51" s="7" t="e">
        <f t="shared" ca="1" si="8"/>
        <v>#REF!</v>
      </c>
      <c r="H51" s="7"/>
      <c r="I51" s="7"/>
      <c r="J51" s="1" t="s">
        <v>1356</v>
      </c>
      <c r="K51" s="6" t="e">
        <f t="shared" ca="1" si="0"/>
        <v>#REF!</v>
      </c>
      <c r="L51" s="6" t="e">
        <f t="shared" ca="1" si="1"/>
        <v>#REF!</v>
      </c>
      <c r="M51" s="1" t="e">
        <f t="shared" ca="1" si="9"/>
        <v>#REF!</v>
      </c>
      <c r="N51" s="1" t="e">
        <f t="shared" ca="1" si="2"/>
        <v>#REF!</v>
      </c>
      <c r="O51" s="1" t="e">
        <f t="shared" ca="1" si="3"/>
        <v>#REF!</v>
      </c>
      <c r="P51" s="1" t="e">
        <f t="shared" ca="1" si="4"/>
        <v>#REF!</v>
      </c>
    </row>
    <row r="52" spans="1:16">
      <c r="A52" s="7"/>
      <c r="B52" s="7"/>
      <c r="C52" s="2" t="s">
        <v>539</v>
      </c>
      <c r="D52" s="7">
        <f t="shared" ca="1" si="5"/>
        <v>1</v>
      </c>
      <c r="E52" s="7" t="e">
        <f t="shared" ca="1" si="6"/>
        <v>#REF!</v>
      </c>
      <c r="F52" s="7" t="e">
        <f t="shared" ca="1" si="7"/>
        <v>#REF!</v>
      </c>
      <c r="G52" s="7" t="e">
        <f t="shared" ca="1" si="8"/>
        <v>#REF!</v>
      </c>
      <c r="H52" s="7"/>
      <c r="I52" s="7"/>
      <c r="J52" s="1" t="s">
        <v>1356</v>
      </c>
      <c r="K52" s="6" t="e">
        <f t="shared" ca="1" si="0"/>
        <v>#REF!</v>
      </c>
      <c r="L52" s="6" t="e">
        <f t="shared" ca="1" si="1"/>
        <v>#REF!</v>
      </c>
      <c r="M52" s="1" t="e">
        <f t="shared" ca="1" si="9"/>
        <v>#REF!</v>
      </c>
      <c r="N52" s="1" t="e">
        <f t="shared" ca="1" si="2"/>
        <v>#REF!</v>
      </c>
      <c r="O52" s="1" t="e">
        <f t="shared" ca="1" si="3"/>
        <v>#REF!</v>
      </c>
      <c r="P52" s="1" t="e">
        <f t="shared" ca="1" si="4"/>
        <v>#REF!</v>
      </c>
    </row>
    <row r="53" spans="1:16">
      <c r="A53" s="7"/>
      <c r="B53" s="7"/>
      <c r="C53" s="2" t="s">
        <v>542</v>
      </c>
      <c r="D53" s="7">
        <f t="shared" ca="1" si="5"/>
        <v>1</v>
      </c>
      <c r="E53" s="7" t="e">
        <f t="shared" ca="1" si="6"/>
        <v>#REF!</v>
      </c>
      <c r="F53" s="7" t="e">
        <f t="shared" ca="1" si="7"/>
        <v>#REF!</v>
      </c>
      <c r="G53" s="7" t="e">
        <f t="shared" ca="1" si="8"/>
        <v>#REF!</v>
      </c>
      <c r="H53" s="7"/>
      <c r="I53" s="7"/>
      <c r="J53" s="1" t="s">
        <v>1356</v>
      </c>
      <c r="K53" s="6" t="e">
        <f t="shared" ca="1" si="0"/>
        <v>#REF!</v>
      </c>
      <c r="L53" s="6" t="e">
        <f t="shared" ca="1" si="1"/>
        <v>#REF!</v>
      </c>
      <c r="M53" s="1" t="e">
        <f t="shared" ca="1" si="9"/>
        <v>#REF!</v>
      </c>
      <c r="N53" s="1" t="e">
        <f t="shared" ca="1" si="2"/>
        <v>#REF!</v>
      </c>
      <c r="O53" s="1" t="e">
        <f t="shared" ca="1" si="3"/>
        <v>#REF!</v>
      </c>
      <c r="P53" s="1" t="e">
        <f t="shared" ca="1" si="4"/>
        <v>#REF!</v>
      </c>
    </row>
    <row r="54" spans="1:16">
      <c r="A54" s="7"/>
      <c r="B54" s="7"/>
      <c r="C54" s="2" t="s">
        <v>641</v>
      </c>
      <c r="D54" s="7">
        <f t="shared" ca="1" si="5"/>
        <v>1</v>
      </c>
      <c r="E54" s="7" t="e">
        <f t="shared" ca="1" si="6"/>
        <v>#REF!</v>
      </c>
      <c r="F54" s="7" t="e">
        <f t="shared" ca="1" si="7"/>
        <v>#REF!</v>
      </c>
      <c r="G54" s="7" t="e">
        <f t="shared" ca="1" si="8"/>
        <v>#REF!</v>
      </c>
      <c r="H54" s="7"/>
      <c r="I54" s="7"/>
      <c r="J54" s="1" t="s">
        <v>1356</v>
      </c>
      <c r="K54" s="6" t="e">
        <f t="shared" ca="1" si="0"/>
        <v>#REF!</v>
      </c>
      <c r="L54" s="6" t="e">
        <f t="shared" ca="1" si="1"/>
        <v>#REF!</v>
      </c>
      <c r="M54" s="1" t="e">
        <f t="shared" ca="1" si="9"/>
        <v>#REF!</v>
      </c>
      <c r="N54" s="1" t="e">
        <f t="shared" ca="1" si="2"/>
        <v>#REF!</v>
      </c>
      <c r="O54" s="1" t="e">
        <f t="shared" ca="1" si="3"/>
        <v>#REF!</v>
      </c>
      <c r="P54" s="1" t="e">
        <f t="shared" ca="1" si="4"/>
        <v>#REF!</v>
      </c>
    </row>
    <row r="55" spans="1:16">
      <c r="A55" s="7"/>
      <c r="B55" s="7"/>
      <c r="C55" s="2" t="s">
        <v>643</v>
      </c>
      <c r="D55" s="7">
        <f t="shared" ca="1" si="5"/>
        <v>1</v>
      </c>
      <c r="E55" s="7" t="e">
        <f t="shared" ca="1" si="6"/>
        <v>#REF!</v>
      </c>
      <c r="F55" s="7" t="e">
        <f t="shared" ca="1" si="7"/>
        <v>#REF!</v>
      </c>
      <c r="G55" s="7" t="e">
        <f t="shared" ca="1" si="8"/>
        <v>#REF!</v>
      </c>
      <c r="H55" s="7"/>
      <c r="I55" s="7"/>
      <c r="J55" s="1" t="s">
        <v>1356</v>
      </c>
      <c r="K55" s="6" t="e">
        <f t="shared" ca="1" si="0"/>
        <v>#REF!</v>
      </c>
      <c r="L55" s="6" t="e">
        <f t="shared" ca="1" si="1"/>
        <v>#REF!</v>
      </c>
      <c r="M55" s="1" t="e">
        <f t="shared" ca="1" si="9"/>
        <v>#REF!</v>
      </c>
      <c r="N55" s="1" t="e">
        <f t="shared" ca="1" si="2"/>
        <v>#REF!</v>
      </c>
      <c r="O55" s="1" t="e">
        <f t="shared" ca="1" si="3"/>
        <v>#REF!</v>
      </c>
      <c r="P55" s="1" t="e">
        <f t="shared" ca="1" si="4"/>
        <v>#REF!</v>
      </c>
    </row>
    <row r="56" spans="1:16">
      <c r="A56" s="7"/>
      <c r="B56" s="7"/>
      <c r="C56" s="2" t="s">
        <v>4209</v>
      </c>
      <c r="D56" s="7">
        <f t="shared" ca="1" si="5"/>
        <v>1</v>
      </c>
      <c r="E56" s="7" t="e">
        <f t="shared" ca="1" si="6"/>
        <v>#REF!</v>
      </c>
      <c r="F56" s="7" t="e">
        <f t="shared" ca="1" si="7"/>
        <v>#REF!</v>
      </c>
      <c r="G56" s="7" t="e">
        <f t="shared" ca="1" si="8"/>
        <v>#REF!</v>
      </c>
      <c r="H56" s="7"/>
      <c r="I56" s="7"/>
      <c r="J56" s="1" t="s">
        <v>1356</v>
      </c>
      <c r="K56" s="6" t="e">
        <f t="shared" ca="1" si="0"/>
        <v>#REF!</v>
      </c>
      <c r="L56" s="6" t="e">
        <f t="shared" ca="1" si="1"/>
        <v>#REF!</v>
      </c>
      <c r="M56" s="1" t="e">
        <f t="shared" ca="1" si="9"/>
        <v>#REF!</v>
      </c>
      <c r="N56" s="1" t="e">
        <f t="shared" ca="1" si="2"/>
        <v>#REF!</v>
      </c>
      <c r="O56" s="1" t="e">
        <f t="shared" ca="1" si="3"/>
        <v>#REF!</v>
      </c>
      <c r="P56" s="1" t="e">
        <f t="shared" ca="1" si="4"/>
        <v>#REF!</v>
      </c>
    </row>
    <row r="57" spans="1:16">
      <c r="A57" s="7"/>
      <c r="B57" s="7"/>
      <c r="C57" s="2" t="s">
        <v>966</v>
      </c>
      <c r="D57" s="7">
        <f t="shared" ca="1" si="5"/>
        <v>1</v>
      </c>
      <c r="E57" s="7" t="e">
        <f t="shared" ca="1" si="6"/>
        <v>#REF!</v>
      </c>
      <c r="F57" s="7" t="e">
        <f t="shared" ca="1" si="7"/>
        <v>#REF!</v>
      </c>
      <c r="G57" s="7" t="e">
        <f t="shared" ca="1" si="8"/>
        <v>#REF!</v>
      </c>
      <c r="H57" s="7"/>
      <c r="I57" s="7"/>
      <c r="J57" s="1" t="s">
        <v>1356</v>
      </c>
      <c r="K57" s="6" t="e">
        <f t="shared" ca="1" si="0"/>
        <v>#REF!</v>
      </c>
      <c r="L57" s="6" t="e">
        <f t="shared" ca="1" si="1"/>
        <v>#REF!</v>
      </c>
      <c r="M57" s="1" t="e">
        <f t="shared" ca="1" si="9"/>
        <v>#REF!</v>
      </c>
      <c r="N57" s="1" t="e">
        <f t="shared" ca="1" si="2"/>
        <v>#REF!</v>
      </c>
      <c r="O57" s="1" t="e">
        <f t="shared" ca="1" si="3"/>
        <v>#REF!</v>
      </c>
      <c r="P57" s="1" t="e">
        <f t="shared" ca="1" si="4"/>
        <v>#REF!</v>
      </c>
    </row>
    <row r="58" spans="1:16">
      <c r="A58" s="7"/>
      <c r="B58" s="7"/>
      <c r="C58" s="2" t="s">
        <v>4210</v>
      </c>
      <c r="D58" s="7">
        <f t="shared" ca="1" si="5"/>
        <v>1</v>
      </c>
      <c r="E58" s="7" t="e">
        <f t="shared" ca="1" si="6"/>
        <v>#REF!</v>
      </c>
      <c r="F58" s="7" t="e">
        <f t="shared" ca="1" si="7"/>
        <v>#REF!</v>
      </c>
      <c r="G58" s="7" t="e">
        <f t="shared" ca="1" si="8"/>
        <v>#REF!</v>
      </c>
      <c r="H58" s="7"/>
      <c r="I58" s="7"/>
      <c r="J58" s="1" t="s">
        <v>1356</v>
      </c>
      <c r="K58" s="6" t="e">
        <f t="shared" ca="1" si="0"/>
        <v>#REF!</v>
      </c>
      <c r="L58" s="6" t="e">
        <f t="shared" ca="1" si="1"/>
        <v>#REF!</v>
      </c>
      <c r="M58" s="1" t="e">
        <f t="shared" ca="1" si="9"/>
        <v>#REF!</v>
      </c>
      <c r="N58" s="1" t="e">
        <f t="shared" ca="1" si="2"/>
        <v>#REF!</v>
      </c>
      <c r="O58" s="1" t="e">
        <f t="shared" ca="1" si="3"/>
        <v>#REF!</v>
      </c>
      <c r="P58" s="1" t="e">
        <f t="shared" ca="1" si="4"/>
        <v>#REF!</v>
      </c>
    </row>
    <row r="59" spans="1:16">
      <c r="A59" s="7"/>
      <c r="B59" s="7"/>
      <c r="C59" s="2" t="s">
        <v>4211</v>
      </c>
      <c r="D59" s="7">
        <f t="shared" ca="1" si="5"/>
        <v>1</v>
      </c>
      <c r="E59" s="7" t="e">
        <f t="shared" ca="1" si="6"/>
        <v>#REF!</v>
      </c>
      <c r="F59" s="7" t="e">
        <f t="shared" ca="1" si="7"/>
        <v>#REF!</v>
      </c>
      <c r="G59" s="7" t="e">
        <f t="shared" ca="1" si="8"/>
        <v>#REF!</v>
      </c>
      <c r="H59" s="7"/>
      <c r="I59" s="7"/>
      <c r="J59" s="1" t="s">
        <v>1356</v>
      </c>
      <c r="K59" s="6" t="e">
        <f t="shared" ca="1" si="0"/>
        <v>#REF!</v>
      </c>
      <c r="L59" s="6" t="e">
        <f t="shared" ca="1" si="1"/>
        <v>#REF!</v>
      </c>
      <c r="M59" s="1" t="e">
        <f t="shared" ca="1" si="9"/>
        <v>#REF!</v>
      </c>
      <c r="N59" s="1" t="e">
        <f t="shared" ca="1" si="2"/>
        <v>#REF!</v>
      </c>
      <c r="O59" s="1" t="e">
        <f t="shared" ca="1" si="3"/>
        <v>#REF!</v>
      </c>
      <c r="P59" s="1" t="e">
        <f t="shared" ca="1" si="4"/>
        <v>#REF!</v>
      </c>
    </row>
    <row r="60" spans="1:16">
      <c r="A60" s="7"/>
      <c r="B60" s="7"/>
      <c r="C60" s="2" t="s">
        <v>886</v>
      </c>
      <c r="D60" s="7">
        <f t="shared" ca="1" si="5"/>
        <v>1</v>
      </c>
      <c r="E60" s="7" t="e">
        <f t="shared" ca="1" si="6"/>
        <v>#REF!</v>
      </c>
      <c r="F60" s="7" t="e">
        <f t="shared" ca="1" si="7"/>
        <v>#REF!</v>
      </c>
      <c r="G60" s="7" t="e">
        <f t="shared" ca="1" si="8"/>
        <v>#REF!</v>
      </c>
      <c r="H60" s="7"/>
      <c r="I60" s="7"/>
      <c r="J60" s="1" t="s">
        <v>1356</v>
      </c>
      <c r="K60" s="6" t="e">
        <f t="shared" ca="1" si="0"/>
        <v>#REF!</v>
      </c>
      <c r="L60" s="6" t="e">
        <f t="shared" ca="1" si="1"/>
        <v>#REF!</v>
      </c>
      <c r="M60" s="1" t="e">
        <f t="shared" ca="1" si="9"/>
        <v>#REF!</v>
      </c>
      <c r="N60" s="1" t="e">
        <f t="shared" ca="1" si="2"/>
        <v>#REF!</v>
      </c>
      <c r="O60" s="1" t="e">
        <f t="shared" ca="1" si="3"/>
        <v>#REF!</v>
      </c>
      <c r="P60" s="1" t="e">
        <f t="shared" ca="1" si="4"/>
        <v>#REF!</v>
      </c>
    </row>
    <row r="61" spans="1:16">
      <c r="A61" s="7"/>
      <c r="B61" s="7"/>
      <c r="C61" s="2" t="s">
        <v>897</v>
      </c>
      <c r="D61" s="7">
        <f t="shared" ca="1" si="5"/>
        <v>1</v>
      </c>
      <c r="E61" s="7" t="e">
        <f t="shared" ca="1" si="6"/>
        <v>#REF!</v>
      </c>
      <c r="F61" s="7" t="e">
        <f t="shared" ca="1" si="7"/>
        <v>#REF!</v>
      </c>
      <c r="G61" s="7" t="e">
        <f t="shared" ca="1" si="8"/>
        <v>#REF!</v>
      </c>
      <c r="H61" s="7"/>
      <c r="I61" s="7"/>
      <c r="J61" s="1" t="s">
        <v>1356</v>
      </c>
      <c r="K61" s="6" t="e">
        <f t="shared" ca="1" si="0"/>
        <v>#REF!</v>
      </c>
      <c r="L61" s="6" t="e">
        <f t="shared" ca="1" si="1"/>
        <v>#REF!</v>
      </c>
      <c r="M61" s="1" t="e">
        <f t="shared" ca="1" si="9"/>
        <v>#REF!</v>
      </c>
      <c r="N61" s="1" t="e">
        <f t="shared" ca="1" si="2"/>
        <v>#REF!</v>
      </c>
      <c r="O61" s="1" t="e">
        <f t="shared" ca="1" si="3"/>
        <v>#REF!</v>
      </c>
      <c r="P61" s="1" t="e">
        <f t="shared" ca="1" si="4"/>
        <v>#REF!</v>
      </c>
    </row>
    <row r="62" spans="1:16">
      <c r="A62" s="7"/>
      <c r="B62" s="7"/>
      <c r="C62" s="2" t="s">
        <v>4212</v>
      </c>
      <c r="D62" s="7">
        <f t="shared" ca="1" si="5"/>
        <v>1</v>
      </c>
      <c r="E62" s="7" t="e">
        <f t="shared" ca="1" si="6"/>
        <v>#REF!</v>
      </c>
      <c r="F62" s="7" t="e">
        <f t="shared" ca="1" si="7"/>
        <v>#REF!</v>
      </c>
      <c r="G62" s="7" t="e">
        <f t="shared" ca="1" si="8"/>
        <v>#REF!</v>
      </c>
      <c r="H62" s="7"/>
      <c r="I62" s="7"/>
      <c r="J62" s="1" t="s">
        <v>1356</v>
      </c>
      <c r="K62" s="6" t="e">
        <f t="shared" ca="1" si="0"/>
        <v>#REF!</v>
      </c>
      <c r="L62" s="6" t="e">
        <f t="shared" ca="1" si="1"/>
        <v>#REF!</v>
      </c>
      <c r="M62" s="1" t="e">
        <f t="shared" ca="1" si="9"/>
        <v>#REF!</v>
      </c>
      <c r="N62" s="1" t="e">
        <f t="shared" ca="1" si="2"/>
        <v>#REF!</v>
      </c>
      <c r="O62" s="1" t="e">
        <f t="shared" ca="1" si="3"/>
        <v>#REF!</v>
      </c>
      <c r="P62" s="1" t="e">
        <f t="shared" ca="1" si="4"/>
        <v>#REF!</v>
      </c>
    </row>
    <row r="63" spans="1:16">
      <c r="A63" s="7"/>
      <c r="B63" s="7"/>
      <c r="C63" s="2" t="s">
        <v>4213</v>
      </c>
      <c r="D63" s="7">
        <f t="shared" ca="1" si="5"/>
        <v>1</v>
      </c>
      <c r="E63" s="7" t="e">
        <f t="shared" ca="1" si="6"/>
        <v>#REF!</v>
      </c>
      <c r="F63" s="7" t="e">
        <f t="shared" ca="1" si="7"/>
        <v>#REF!</v>
      </c>
      <c r="G63" s="7" t="e">
        <f t="shared" ca="1" si="8"/>
        <v>#REF!</v>
      </c>
      <c r="H63" s="7"/>
      <c r="I63" s="7"/>
      <c r="J63" s="1" t="s">
        <v>1356</v>
      </c>
      <c r="K63" s="6" t="e">
        <f t="shared" ca="1" si="0"/>
        <v>#REF!</v>
      </c>
      <c r="L63" s="6" t="e">
        <f t="shared" ca="1" si="1"/>
        <v>#REF!</v>
      </c>
      <c r="M63" s="1" t="e">
        <f t="shared" ca="1" si="9"/>
        <v>#REF!</v>
      </c>
      <c r="N63" s="1" t="e">
        <f t="shared" ca="1" si="2"/>
        <v>#REF!</v>
      </c>
      <c r="O63" s="1" t="e">
        <f t="shared" ca="1" si="3"/>
        <v>#REF!</v>
      </c>
      <c r="P63" s="1" t="e">
        <f t="shared" ca="1" si="4"/>
        <v>#REF!</v>
      </c>
    </row>
    <row r="64" spans="1:16">
      <c r="A64" s="7"/>
      <c r="B64" s="7"/>
      <c r="C64" s="2" t="s">
        <v>78</v>
      </c>
      <c r="D64" s="7">
        <f t="shared" ca="1" si="5"/>
        <v>1</v>
      </c>
      <c r="E64" s="7" t="e">
        <f t="shared" ca="1" si="6"/>
        <v>#REF!</v>
      </c>
      <c r="F64" s="7" t="e">
        <f t="shared" ca="1" si="7"/>
        <v>#REF!</v>
      </c>
      <c r="G64" s="7" t="e">
        <f t="shared" ca="1" si="8"/>
        <v>#REF!</v>
      </c>
      <c r="H64" s="7"/>
      <c r="I64" s="7"/>
      <c r="J64" s="1" t="s">
        <v>1356</v>
      </c>
      <c r="K64" s="6" t="e">
        <f t="shared" ca="1" si="0"/>
        <v>#REF!</v>
      </c>
      <c r="L64" s="6" t="e">
        <f t="shared" ca="1" si="1"/>
        <v>#REF!</v>
      </c>
      <c r="M64" s="1" t="e">
        <f t="shared" ca="1" si="9"/>
        <v>#REF!</v>
      </c>
      <c r="N64" s="1" t="e">
        <f t="shared" ca="1" si="2"/>
        <v>#REF!</v>
      </c>
      <c r="O64" s="1" t="e">
        <f t="shared" ca="1" si="3"/>
        <v>#REF!</v>
      </c>
      <c r="P64" s="1" t="e">
        <f t="shared" ca="1" si="4"/>
        <v>#REF!</v>
      </c>
    </row>
    <row r="65" spans="1:16">
      <c r="A65" s="7"/>
      <c r="B65" s="7"/>
      <c r="C65" s="2" t="s">
        <v>262</v>
      </c>
      <c r="D65" s="7">
        <f t="shared" ca="1" si="5"/>
        <v>1</v>
      </c>
      <c r="E65" s="7" t="e">
        <f t="shared" ca="1" si="6"/>
        <v>#REF!</v>
      </c>
      <c r="F65" s="7" t="e">
        <f t="shared" ca="1" si="7"/>
        <v>#REF!</v>
      </c>
      <c r="G65" s="7" t="e">
        <f t="shared" ca="1" si="8"/>
        <v>#REF!</v>
      </c>
      <c r="H65" s="7"/>
      <c r="I65" s="7"/>
      <c r="J65" s="1" t="s">
        <v>1356</v>
      </c>
      <c r="K65" s="6" t="e">
        <f t="shared" ca="1" si="0"/>
        <v>#REF!</v>
      </c>
      <c r="L65" s="6" t="e">
        <f t="shared" ca="1" si="1"/>
        <v>#REF!</v>
      </c>
      <c r="M65" s="1" t="e">
        <f t="shared" ca="1" si="9"/>
        <v>#REF!</v>
      </c>
      <c r="N65" s="1" t="e">
        <f t="shared" ca="1" si="2"/>
        <v>#REF!</v>
      </c>
      <c r="O65" s="1" t="e">
        <f t="shared" ca="1" si="3"/>
        <v>#REF!</v>
      </c>
      <c r="P65" s="1" t="e">
        <f t="shared" ca="1" si="4"/>
        <v>#REF!</v>
      </c>
    </row>
    <row r="66" spans="1:16">
      <c r="A66" s="7"/>
      <c r="B66" s="7"/>
      <c r="C66" s="2" t="s">
        <v>278</v>
      </c>
      <c r="D66" s="7">
        <f t="shared" ca="1" si="5"/>
        <v>1</v>
      </c>
      <c r="E66" s="7" t="e">
        <f t="shared" ca="1" si="6"/>
        <v>#REF!</v>
      </c>
      <c r="F66" s="7" t="e">
        <f t="shared" ca="1" si="7"/>
        <v>#REF!</v>
      </c>
      <c r="G66" s="7" t="e">
        <f t="shared" ca="1" si="8"/>
        <v>#REF!</v>
      </c>
      <c r="H66" s="7"/>
      <c r="I66" s="7"/>
      <c r="J66" s="1" t="s">
        <v>1356</v>
      </c>
      <c r="K66" s="6" t="e">
        <f t="shared" ca="1" si="0"/>
        <v>#REF!</v>
      </c>
      <c r="L66" s="6" t="e">
        <f t="shared" ca="1" si="1"/>
        <v>#REF!</v>
      </c>
      <c r="M66" s="1" t="e">
        <f t="shared" ca="1" si="9"/>
        <v>#REF!</v>
      </c>
      <c r="N66" s="1" t="e">
        <f t="shared" ca="1" si="2"/>
        <v>#REF!</v>
      </c>
      <c r="O66" s="1" t="e">
        <f t="shared" ca="1" si="3"/>
        <v>#REF!</v>
      </c>
      <c r="P66" s="1" t="e">
        <f t="shared" ca="1" si="4"/>
        <v>#REF!</v>
      </c>
    </row>
    <row r="67" spans="1:16">
      <c r="A67" s="7"/>
      <c r="B67" s="7"/>
      <c r="C67" s="2" t="s">
        <v>205</v>
      </c>
      <c r="D67" s="7">
        <f t="shared" ca="1" si="5"/>
        <v>1</v>
      </c>
      <c r="E67" s="7" t="e">
        <f t="shared" ca="1" si="6"/>
        <v>#REF!</v>
      </c>
      <c r="F67" s="7" t="e">
        <f t="shared" ca="1" si="7"/>
        <v>#REF!</v>
      </c>
      <c r="G67" s="7" t="e">
        <f t="shared" ca="1" si="8"/>
        <v>#REF!</v>
      </c>
      <c r="H67" s="7"/>
      <c r="I67" s="7"/>
      <c r="J67" s="1" t="s">
        <v>1356</v>
      </c>
      <c r="K67" s="6" t="e">
        <f t="shared" ca="1" si="0"/>
        <v>#REF!</v>
      </c>
      <c r="L67" s="6" t="e">
        <f t="shared" ca="1" si="1"/>
        <v>#REF!</v>
      </c>
      <c r="M67" s="1" t="e">
        <f t="shared" ca="1" si="9"/>
        <v>#REF!</v>
      </c>
      <c r="N67" s="1" t="e">
        <f t="shared" ca="1" si="2"/>
        <v>#REF!</v>
      </c>
      <c r="O67" s="1" t="e">
        <f t="shared" ca="1" si="3"/>
        <v>#REF!</v>
      </c>
      <c r="P67" s="1" t="e">
        <f t="shared" ca="1" si="4"/>
        <v>#REF!</v>
      </c>
    </row>
    <row r="68" spans="1:16">
      <c r="A68" s="7"/>
      <c r="B68" s="7"/>
      <c r="C68" s="2" t="s">
        <v>495</v>
      </c>
      <c r="D68" s="7">
        <f t="shared" ca="1" si="5"/>
        <v>1</v>
      </c>
      <c r="E68" s="7" t="e">
        <f t="shared" ca="1" si="6"/>
        <v>#REF!</v>
      </c>
      <c r="F68" s="7" t="e">
        <f t="shared" ca="1" si="7"/>
        <v>#REF!</v>
      </c>
      <c r="G68" s="7" t="e">
        <f t="shared" ca="1" si="8"/>
        <v>#REF!</v>
      </c>
      <c r="H68" s="7"/>
      <c r="I68" s="7"/>
      <c r="J68" s="1" t="s">
        <v>1356</v>
      </c>
      <c r="K68" s="6" t="e">
        <f t="shared" ca="1" si="0"/>
        <v>#REF!</v>
      </c>
      <c r="L68" s="6" t="e">
        <f t="shared" ca="1" si="1"/>
        <v>#REF!</v>
      </c>
      <c r="M68" s="1" t="e">
        <f t="shared" ca="1" si="9"/>
        <v>#REF!</v>
      </c>
      <c r="N68" s="1" t="e">
        <f t="shared" ca="1" si="2"/>
        <v>#REF!</v>
      </c>
      <c r="O68" s="1" t="e">
        <f t="shared" ca="1" si="3"/>
        <v>#REF!</v>
      </c>
      <c r="P68" s="1" t="e">
        <f t="shared" ca="1" si="4"/>
        <v>#REF!</v>
      </c>
    </row>
    <row r="69" spans="1:16">
      <c r="A69" s="7"/>
      <c r="B69" s="7"/>
      <c r="C69" s="2" t="s">
        <v>509</v>
      </c>
      <c r="D69" s="7">
        <f t="shared" ca="1" si="5"/>
        <v>1</v>
      </c>
      <c r="E69" s="7" t="e">
        <f t="shared" ca="1" si="6"/>
        <v>#REF!</v>
      </c>
      <c r="F69" s="7" t="e">
        <f t="shared" ca="1" si="7"/>
        <v>#REF!</v>
      </c>
      <c r="G69" s="7" t="e">
        <f t="shared" ca="1" si="8"/>
        <v>#REF!</v>
      </c>
      <c r="H69" s="7"/>
      <c r="I69" s="7"/>
      <c r="J69" s="1" t="s">
        <v>1356</v>
      </c>
      <c r="K69" s="6" t="e">
        <f t="shared" ca="1" si="0"/>
        <v>#REF!</v>
      </c>
      <c r="L69" s="6" t="e">
        <f t="shared" ca="1" si="1"/>
        <v>#REF!</v>
      </c>
      <c r="M69" s="1" t="e">
        <f t="shared" ca="1" si="9"/>
        <v>#REF!</v>
      </c>
      <c r="N69" s="1" t="e">
        <f t="shared" ca="1" si="2"/>
        <v>#REF!</v>
      </c>
      <c r="O69" s="1" t="e">
        <f t="shared" ca="1" si="3"/>
        <v>#REF!</v>
      </c>
      <c r="P69" s="1" t="e">
        <f t="shared" ca="1" si="4"/>
        <v>#REF!</v>
      </c>
    </row>
    <row r="70" spans="1:16">
      <c r="A70" s="7"/>
      <c r="B70" s="7"/>
      <c r="C70" s="2" t="s">
        <v>515</v>
      </c>
      <c r="D70" s="7">
        <f t="shared" ca="1" si="5"/>
        <v>1</v>
      </c>
      <c r="E70" s="7" t="e">
        <f t="shared" ca="1" si="6"/>
        <v>#REF!</v>
      </c>
      <c r="F70" s="7" t="e">
        <f t="shared" ca="1" si="7"/>
        <v>#REF!</v>
      </c>
      <c r="G70" s="7" t="e">
        <f t="shared" ca="1" si="8"/>
        <v>#REF!</v>
      </c>
      <c r="H70" s="7"/>
      <c r="I70" s="7"/>
      <c r="J70" s="1" t="s">
        <v>1356</v>
      </c>
      <c r="K70" s="6" t="e">
        <f t="shared" ca="1" si="0"/>
        <v>#REF!</v>
      </c>
      <c r="L70" s="6" t="e">
        <f t="shared" ca="1" si="1"/>
        <v>#REF!</v>
      </c>
      <c r="M70" s="1" t="e">
        <f t="shared" ca="1" si="9"/>
        <v>#REF!</v>
      </c>
      <c r="N70" s="1" t="e">
        <f t="shared" ca="1" si="2"/>
        <v>#REF!</v>
      </c>
      <c r="O70" s="1" t="e">
        <f t="shared" ca="1" si="3"/>
        <v>#REF!</v>
      </c>
      <c r="P70" s="1" t="e">
        <f t="shared" ca="1" si="4"/>
        <v>#REF!</v>
      </c>
    </row>
    <row r="71" spans="1:16">
      <c r="A71" s="7"/>
      <c r="B71" s="7"/>
      <c r="C71" s="2" t="s">
        <v>564</v>
      </c>
      <c r="D71" s="7">
        <f t="shared" ref="D71:D134" ca="1" si="10">COUNTA(INDIRECT(CONCATENATE("'",J71,"'!",K71)))</f>
        <v>1</v>
      </c>
      <c r="E71" s="7" t="e">
        <f t="shared" ref="E71:E134" ca="1" si="11">G71+F71</f>
        <v>#REF!</v>
      </c>
      <c r="F71" s="7" t="e">
        <f t="shared" ref="F71:F134" ca="1" si="12">COUNTIF(INDIRECT(CONCATENATE("'",J71,"'!",M71)),"●")+COUNTIFS(INDIRECT(CONCATENATE("'",J71,"'!",M71)),"×",INDIRECT(CONCATENATE("'",J71,"'!",N71)),"●")</f>
        <v>#REF!</v>
      </c>
      <c r="G71" s="7" t="e">
        <f t="shared" ref="G71:G134" ca="1" si="13">COUNTIF(INDIRECT(CONCATENATE("'",J71,"'!",M71)),"×")-COUNTIFS(INDIRECT(CONCATENATE("'",J71,"'!",M71)),"×",INDIRECT(CONCATENATE("'",J71,"'!",N71)),"●")</f>
        <v>#REF!</v>
      </c>
      <c r="H71" s="7"/>
      <c r="I71" s="7"/>
      <c r="J71" s="1" t="s">
        <v>1356</v>
      </c>
      <c r="K71" s="6" t="e">
        <f t="shared" ca="1" si="0"/>
        <v>#REF!</v>
      </c>
      <c r="L71" s="6" t="e">
        <f t="shared" ca="1" si="1"/>
        <v>#REF!</v>
      </c>
      <c r="M71" s="1" t="e">
        <f t="shared" ca="1" si="9"/>
        <v>#REF!</v>
      </c>
      <c r="N71" s="1" t="e">
        <f t="shared" ca="1" si="2"/>
        <v>#REF!</v>
      </c>
      <c r="O71" s="1" t="e">
        <f t="shared" ca="1" si="3"/>
        <v>#REF!</v>
      </c>
      <c r="P71" s="1" t="e">
        <f t="shared" ca="1" si="4"/>
        <v>#REF!</v>
      </c>
    </row>
    <row r="72" spans="1:16">
      <c r="A72" s="7"/>
      <c r="B72" s="7"/>
      <c r="C72" s="2" t="s">
        <v>323</v>
      </c>
      <c r="D72" s="7">
        <f t="shared" ca="1" si="10"/>
        <v>1</v>
      </c>
      <c r="E72" s="7" t="e">
        <f t="shared" ca="1" si="11"/>
        <v>#REF!</v>
      </c>
      <c r="F72" s="7" t="e">
        <f t="shared" ca="1" si="12"/>
        <v>#REF!</v>
      </c>
      <c r="G72" s="7" t="e">
        <f t="shared" ca="1" si="13"/>
        <v>#REF!</v>
      </c>
      <c r="H72" s="7"/>
      <c r="I72" s="7"/>
      <c r="J72" s="1" t="s">
        <v>1356</v>
      </c>
      <c r="K72" s="6" t="e">
        <f t="shared" ca="1" si="0"/>
        <v>#REF!</v>
      </c>
      <c r="L72" s="6" t="e">
        <f t="shared" ca="1" si="1"/>
        <v>#REF!</v>
      </c>
      <c r="M72" s="1" t="e">
        <f t="shared" ca="1" si="9"/>
        <v>#REF!</v>
      </c>
      <c r="N72" s="1" t="e">
        <f t="shared" ca="1" si="2"/>
        <v>#REF!</v>
      </c>
      <c r="O72" s="1" t="e">
        <f t="shared" ca="1" si="3"/>
        <v>#REF!</v>
      </c>
      <c r="P72" s="1" t="e">
        <f t="shared" ca="1" si="4"/>
        <v>#REF!</v>
      </c>
    </row>
    <row r="73" spans="1:16">
      <c r="A73" s="7"/>
      <c r="B73" s="7"/>
      <c r="C73" s="2" t="s">
        <v>54</v>
      </c>
      <c r="D73" s="7">
        <f t="shared" ca="1" si="10"/>
        <v>1</v>
      </c>
      <c r="E73" s="7" t="e">
        <f t="shared" ca="1" si="11"/>
        <v>#REF!</v>
      </c>
      <c r="F73" s="7" t="e">
        <f t="shared" ca="1" si="12"/>
        <v>#REF!</v>
      </c>
      <c r="G73" s="7" t="e">
        <f t="shared" ca="1" si="13"/>
        <v>#REF!</v>
      </c>
      <c r="H73" s="7"/>
      <c r="I73" s="7"/>
      <c r="J73" s="1" t="s">
        <v>1356</v>
      </c>
      <c r="K73" s="6" t="e">
        <f t="shared" ca="1" si="0"/>
        <v>#REF!</v>
      </c>
      <c r="L73" s="6" t="e">
        <f t="shared" ca="1" si="1"/>
        <v>#REF!</v>
      </c>
      <c r="M73" s="1" t="e">
        <f t="shared" ca="1" si="9"/>
        <v>#REF!</v>
      </c>
      <c r="N73" s="1" t="e">
        <f t="shared" ca="1" si="2"/>
        <v>#REF!</v>
      </c>
      <c r="O73" s="1" t="e">
        <f t="shared" ca="1" si="3"/>
        <v>#REF!</v>
      </c>
      <c r="P73" s="1" t="e">
        <f t="shared" ca="1" si="4"/>
        <v>#REF!</v>
      </c>
    </row>
    <row r="74" spans="1:16">
      <c r="A74" s="7"/>
      <c r="B74" s="7"/>
      <c r="C74" s="2" t="s">
        <v>669</v>
      </c>
      <c r="D74" s="7">
        <f t="shared" ca="1" si="10"/>
        <v>1</v>
      </c>
      <c r="E74" s="7" t="e">
        <f t="shared" ca="1" si="11"/>
        <v>#REF!</v>
      </c>
      <c r="F74" s="7" t="e">
        <f t="shared" ca="1" si="12"/>
        <v>#REF!</v>
      </c>
      <c r="G74" s="7" t="e">
        <f t="shared" ca="1" si="13"/>
        <v>#REF!</v>
      </c>
      <c r="H74" s="7"/>
      <c r="I74" s="7"/>
      <c r="J74" s="1" t="s">
        <v>1356</v>
      </c>
      <c r="K74" s="6" t="e">
        <f t="shared" ca="1" si="0"/>
        <v>#REF!</v>
      </c>
      <c r="L74" s="6" t="e">
        <f t="shared" ref="L74:L137" ca="1" si="14">CONCATENATE("$",IF(K74=$J$3,$L$3,$L$4),"$",O74,":","$",IF(K74=$J$3,$L$3,$L$4),"$",P74)</f>
        <v>#REF!</v>
      </c>
      <c r="M74" s="1" t="e">
        <f t="shared" ca="1" si="9"/>
        <v>#REF!</v>
      </c>
      <c r="N74" s="1" t="e">
        <f t="shared" ca="1" si="2"/>
        <v>#REF!</v>
      </c>
      <c r="O74" s="1" t="e">
        <f t="shared" ca="1" si="3"/>
        <v>#REF!</v>
      </c>
      <c r="P74" s="1" t="e">
        <f t="shared" ca="1" si="4"/>
        <v>#REF!</v>
      </c>
    </row>
    <row r="75" spans="1:16">
      <c r="A75" s="7"/>
      <c r="B75" s="7"/>
      <c r="C75" s="2" t="s">
        <v>152</v>
      </c>
      <c r="D75" s="7">
        <f t="shared" ca="1" si="10"/>
        <v>1</v>
      </c>
      <c r="E75" s="7" t="e">
        <f t="shared" ca="1" si="11"/>
        <v>#REF!</v>
      </c>
      <c r="F75" s="7" t="e">
        <f t="shared" ca="1" si="12"/>
        <v>#REF!</v>
      </c>
      <c r="G75" s="7" t="e">
        <f t="shared" ca="1" si="13"/>
        <v>#REF!</v>
      </c>
      <c r="H75" s="7"/>
      <c r="I75" s="7"/>
      <c r="J75" s="1" t="s">
        <v>1356</v>
      </c>
      <c r="K75" s="6" t="e">
        <f t="shared" ref="K75:K138" ca="1" si="15">CONCATENATE("$",IF(J75=$J$3,$K$3,$K$4),"$",O75,":","$",IF(J75=$J$3,$K$3,$K$4),"$",P75)</f>
        <v>#REF!</v>
      </c>
      <c r="L75" s="6" t="e">
        <f t="shared" ca="1" si="14"/>
        <v>#REF!</v>
      </c>
      <c r="M75" s="1" t="e">
        <f t="shared" ref="M75:M138" ca="1" si="16">CONCATENATE("$",IF(J75=$J$3,$M$3,$M$4),"$",O75,":","$",IF(J75=$J$3,$M$3,$M$4),"$",P75)</f>
        <v>#REF!</v>
      </c>
      <c r="N75" s="1" t="e">
        <f t="shared" ref="N75:N138" ca="1" si="17">CONCATENATE("$",IF(J75=$J$3,$N$3,$N$4),"$",O75,":","$",IF(J75=$J$3,$N$3,$N$4),"$",P75)</f>
        <v>#REF!</v>
      </c>
      <c r="O75" s="1" t="e">
        <f t="shared" ref="O75:O138" ca="1" si="18">MATCH($C75,INDIRECT(CONCATENATE("'",J75,"'!$D:$D")),0)</f>
        <v>#REF!</v>
      </c>
      <c r="P75" s="1" t="e">
        <f t="shared" ref="P75:P138" ca="1" si="19">MATCH("*",INDIRECT(CONCATENATE("'",$J75,"'!","D",$O75+1,":","D65535"),TRUE),0)+O75-1</f>
        <v>#REF!</v>
      </c>
    </row>
    <row r="76" spans="1:16">
      <c r="A76" s="7"/>
      <c r="B76" s="7"/>
      <c r="C76" s="2" t="s">
        <v>162</v>
      </c>
      <c r="D76" s="7">
        <f t="shared" ca="1" si="10"/>
        <v>1</v>
      </c>
      <c r="E76" s="7" t="e">
        <f t="shared" ca="1" si="11"/>
        <v>#REF!</v>
      </c>
      <c r="F76" s="7" t="e">
        <f t="shared" ca="1" si="12"/>
        <v>#REF!</v>
      </c>
      <c r="G76" s="7" t="e">
        <f t="shared" ca="1" si="13"/>
        <v>#REF!</v>
      </c>
      <c r="H76" s="7"/>
      <c r="I76" s="7"/>
      <c r="J76" s="1" t="s">
        <v>1356</v>
      </c>
      <c r="K76" s="6" t="e">
        <f t="shared" ca="1" si="15"/>
        <v>#REF!</v>
      </c>
      <c r="L76" s="6" t="e">
        <f t="shared" ca="1" si="14"/>
        <v>#REF!</v>
      </c>
      <c r="M76" s="1" t="e">
        <f t="shared" ca="1" si="16"/>
        <v>#REF!</v>
      </c>
      <c r="N76" s="1" t="e">
        <f t="shared" ca="1" si="17"/>
        <v>#REF!</v>
      </c>
      <c r="O76" s="1" t="e">
        <f t="shared" ca="1" si="18"/>
        <v>#REF!</v>
      </c>
      <c r="P76" s="1" t="e">
        <f t="shared" ca="1" si="19"/>
        <v>#REF!</v>
      </c>
    </row>
    <row r="77" spans="1:16">
      <c r="A77" s="7"/>
      <c r="B77" s="7"/>
      <c r="C77" s="2" t="s">
        <v>967</v>
      </c>
      <c r="D77" s="7">
        <f t="shared" ca="1" si="10"/>
        <v>1</v>
      </c>
      <c r="E77" s="7" t="e">
        <f t="shared" ca="1" si="11"/>
        <v>#REF!</v>
      </c>
      <c r="F77" s="7" t="e">
        <f t="shared" ca="1" si="12"/>
        <v>#REF!</v>
      </c>
      <c r="G77" s="7" t="e">
        <f t="shared" ca="1" si="13"/>
        <v>#REF!</v>
      </c>
      <c r="H77" s="7"/>
      <c r="I77" s="7"/>
      <c r="J77" s="1" t="s">
        <v>1356</v>
      </c>
      <c r="K77" s="6" t="e">
        <f t="shared" ca="1" si="15"/>
        <v>#REF!</v>
      </c>
      <c r="L77" s="6" t="e">
        <f t="shared" ca="1" si="14"/>
        <v>#REF!</v>
      </c>
      <c r="M77" s="1" t="e">
        <f t="shared" ca="1" si="16"/>
        <v>#REF!</v>
      </c>
      <c r="N77" s="1" t="e">
        <f t="shared" ca="1" si="17"/>
        <v>#REF!</v>
      </c>
      <c r="O77" s="1" t="e">
        <f t="shared" ca="1" si="18"/>
        <v>#REF!</v>
      </c>
      <c r="P77" s="1" t="e">
        <f t="shared" ca="1" si="19"/>
        <v>#REF!</v>
      </c>
    </row>
    <row r="78" spans="1:16">
      <c r="A78" s="7"/>
      <c r="B78" s="7"/>
      <c r="C78" s="2" t="s">
        <v>420</v>
      </c>
      <c r="D78" s="7">
        <f t="shared" ca="1" si="10"/>
        <v>1</v>
      </c>
      <c r="E78" s="7" t="e">
        <f t="shared" ca="1" si="11"/>
        <v>#REF!</v>
      </c>
      <c r="F78" s="7" t="e">
        <f t="shared" ca="1" si="12"/>
        <v>#REF!</v>
      </c>
      <c r="G78" s="7" t="e">
        <f t="shared" ca="1" si="13"/>
        <v>#REF!</v>
      </c>
      <c r="H78" s="7"/>
      <c r="I78" s="7"/>
      <c r="J78" s="1" t="s">
        <v>1356</v>
      </c>
      <c r="K78" s="6" t="e">
        <f t="shared" ca="1" si="15"/>
        <v>#REF!</v>
      </c>
      <c r="L78" s="6" t="e">
        <f t="shared" ca="1" si="14"/>
        <v>#REF!</v>
      </c>
      <c r="M78" s="1" t="e">
        <f t="shared" ca="1" si="16"/>
        <v>#REF!</v>
      </c>
      <c r="N78" s="1" t="e">
        <f t="shared" ca="1" si="17"/>
        <v>#REF!</v>
      </c>
      <c r="O78" s="1" t="e">
        <f t="shared" ca="1" si="18"/>
        <v>#REF!</v>
      </c>
      <c r="P78" s="1" t="e">
        <f t="shared" ca="1" si="19"/>
        <v>#REF!</v>
      </c>
    </row>
    <row r="79" spans="1:16">
      <c r="A79" s="7"/>
      <c r="B79" s="7"/>
      <c r="C79" s="2" t="s">
        <v>423</v>
      </c>
      <c r="D79" s="7">
        <f t="shared" ca="1" si="10"/>
        <v>1</v>
      </c>
      <c r="E79" s="7" t="e">
        <f t="shared" ca="1" si="11"/>
        <v>#REF!</v>
      </c>
      <c r="F79" s="7" t="e">
        <f t="shared" ca="1" si="12"/>
        <v>#REF!</v>
      </c>
      <c r="G79" s="7" t="e">
        <f t="shared" ca="1" si="13"/>
        <v>#REF!</v>
      </c>
      <c r="H79" s="7"/>
      <c r="I79" s="7"/>
      <c r="J79" s="1" t="s">
        <v>1356</v>
      </c>
      <c r="K79" s="6" t="e">
        <f t="shared" ca="1" si="15"/>
        <v>#REF!</v>
      </c>
      <c r="L79" s="6" t="e">
        <f t="shared" ca="1" si="14"/>
        <v>#REF!</v>
      </c>
      <c r="M79" s="1" t="e">
        <f t="shared" ca="1" si="16"/>
        <v>#REF!</v>
      </c>
      <c r="N79" s="1" t="e">
        <f t="shared" ca="1" si="17"/>
        <v>#REF!</v>
      </c>
      <c r="O79" s="1" t="e">
        <f t="shared" ca="1" si="18"/>
        <v>#REF!</v>
      </c>
      <c r="P79" s="1" t="e">
        <f t="shared" ca="1" si="19"/>
        <v>#REF!</v>
      </c>
    </row>
    <row r="80" spans="1:16">
      <c r="A80" s="7"/>
      <c r="B80" s="7"/>
      <c r="C80" s="2" t="s">
        <v>101</v>
      </c>
      <c r="D80" s="7">
        <f t="shared" ca="1" si="10"/>
        <v>1</v>
      </c>
      <c r="E80" s="7" t="e">
        <f t="shared" ca="1" si="11"/>
        <v>#REF!</v>
      </c>
      <c r="F80" s="7" t="e">
        <f t="shared" ca="1" si="12"/>
        <v>#REF!</v>
      </c>
      <c r="G80" s="7" t="e">
        <f t="shared" ca="1" si="13"/>
        <v>#REF!</v>
      </c>
      <c r="H80" s="7"/>
      <c r="I80" s="7"/>
      <c r="J80" s="1" t="s">
        <v>1356</v>
      </c>
      <c r="K80" s="6" t="e">
        <f t="shared" ca="1" si="15"/>
        <v>#REF!</v>
      </c>
      <c r="L80" s="6" t="e">
        <f t="shared" ca="1" si="14"/>
        <v>#REF!</v>
      </c>
      <c r="M80" s="1" t="e">
        <f t="shared" ca="1" si="16"/>
        <v>#REF!</v>
      </c>
      <c r="N80" s="1" t="e">
        <f t="shared" ca="1" si="17"/>
        <v>#REF!</v>
      </c>
      <c r="O80" s="1" t="e">
        <f t="shared" ca="1" si="18"/>
        <v>#REF!</v>
      </c>
      <c r="P80" s="1" t="e">
        <f t="shared" ca="1" si="19"/>
        <v>#REF!</v>
      </c>
    </row>
    <row r="81" spans="1:16">
      <c r="A81" s="7"/>
      <c r="B81" s="7"/>
      <c r="C81" s="2" t="s">
        <v>104</v>
      </c>
      <c r="D81" s="7">
        <f t="shared" ca="1" si="10"/>
        <v>1</v>
      </c>
      <c r="E81" s="7" t="e">
        <f t="shared" ca="1" si="11"/>
        <v>#REF!</v>
      </c>
      <c r="F81" s="7" t="e">
        <f t="shared" ca="1" si="12"/>
        <v>#REF!</v>
      </c>
      <c r="G81" s="7" t="e">
        <f t="shared" ca="1" si="13"/>
        <v>#REF!</v>
      </c>
      <c r="H81" s="7"/>
      <c r="I81" s="7"/>
      <c r="J81" s="1" t="s">
        <v>1356</v>
      </c>
      <c r="K81" s="6" t="e">
        <f t="shared" ca="1" si="15"/>
        <v>#REF!</v>
      </c>
      <c r="L81" s="6" t="e">
        <f t="shared" ca="1" si="14"/>
        <v>#REF!</v>
      </c>
      <c r="M81" s="1" t="e">
        <f t="shared" ca="1" si="16"/>
        <v>#REF!</v>
      </c>
      <c r="N81" s="1" t="e">
        <f t="shared" ca="1" si="17"/>
        <v>#REF!</v>
      </c>
      <c r="O81" s="1" t="e">
        <f t="shared" ca="1" si="18"/>
        <v>#REF!</v>
      </c>
      <c r="P81" s="1" t="e">
        <f t="shared" ca="1" si="19"/>
        <v>#REF!</v>
      </c>
    </row>
    <row r="82" spans="1:16">
      <c r="A82" s="7"/>
      <c r="B82" s="7"/>
      <c r="C82" s="2" t="s">
        <v>27</v>
      </c>
      <c r="D82" s="7">
        <f t="shared" ca="1" si="10"/>
        <v>1</v>
      </c>
      <c r="E82" s="7" t="e">
        <f t="shared" ca="1" si="11"/>
        <v>#REF!</v>
      </c>
      <c r="F82" s="7" t="e">
        <f t="shared" ca="1" si="12"/>
        <v>#REF!</v>
      </c>
      <c r="G82" s="7" t="e">
        <f t="shared" ca="1" si="13"/>
        <v>#REF!</v>
      </c>
      <c r="H82" s="7"/>
      <c r="I82" s="7"/>
      <c r="J82" s="1" t="s">
        <v>1356</v>
      </c>
      <c r="K82" s="6" t="e">
        <f t="shared" ca="1" si="15"/>
        <v>#REF!</v>
      </c>
      <c r="L82" s="6" t="e">
        <f t="shared" ca="1" si="14"/>
        <v>#REF!</v>
      </c>
      <c r="M82" s="1" t="e">
        <f t="shared" ca="1" si="16"/>
        <v>#REF!</v>
      </c>
      <c r="N82" s="1" t="e">
        <f t="shared" ca="1" si="17"/>
        <v>#REF!</v>
      </c>
      <c r="O82" s="1" t="e">
        <f t="shared" ca="1" si="18"/>
        <v>#REF!</v>
      </c>
      <c r="P82" s="1" t="e">
        <f t="shared" ca="1" si="19"/>
        <v>#REF!</v>
      </c>
    </row>
    <row r="83" spans="1:16">
      <c r="A83" s="7"/>
      <c r="B83" s="7"/>
      <c r="C83" s="2" t="s">
        <v>361</v>
      </c>
      <c r="D83" s="7">
        <f t="shared" ca="1" si="10"/>
        <v>1</v>
      </c>
      <c r="E83" s="7" t="e">
        <f t="shared" ca="1" si="11"/>
        <v>#REF!</v>
      </c>
      <c r="F83" s="7" t="e">
        <f t="shared" ca="1" si="12"/>
        <v>#REF!</v>
      </c>
      <c r="G83" s="7" t="e">
        <f t="shared" ca="1" si="13"/>
        <v>#REF!</v>
      </c>
      <c r="H83" s="7"/>
      <c r="I83" s="7"/>
      <c r="J83" s="1" t="s">
        <v>1356</v>
      </c>
      <c r="K83" s="6" t="e">
        <f t="shared" ca="1" si="15"/>
        <v>#REF!</v>
      </c>
      <c r="L83" s="6" t="e">
        <f t="shared" ca="1" si="14"/>
        <v>#REF!</v>
      </c>
      <c r="M83" s="1" t="e">
        <f t="shared" ca="1" si="16"/>
        <v>#REF!</v>
      </c>
      <c r="N83" s="1" t="e">
        <f t="shared" ca="1" si="17"/>
        <v>#REF!</v>
      </c>
      <c r="O83" s="1" t="e">
        <f t="shared" ca="1" si="18"/>
        <v>#REF!</v>
      </c>
      <c r="P83" s="1" t="e">
        <f t="shared" ca="1" si="19"/>
        <v>#REF!</v>
      </c>
    </row>
    <row r="84" spans="1:16">
      <c r="A84" s="7"/>
      <c r="B84" s="7"/>
      <c r="C84" s="2" t="s">
        <v>4214</v>
      </c>
      <c r="D84" s="7">
        <f t="shared" ca="1" si="10"/>
        <v>1</v>
      </c>
      <c r="E84" s="7" t="e">
        <f t="shared" ca="1" si="11"/>
        <v>#REF!</v>
      </c>
      <c r="F84" s="7" t="e">
        <f t="shared" ca="1" si="12"/>
        <v>#REF!</v>
      </c>
      <c r="G84" s="7" t="e">
        <f t="shared" ca="1" si="13"/>
        <v>#REF!</v>
      </c>
      <c r="H84" s="7"/>
      <c r="I84" s="7"/>
      <c r="J84" s="1" t="s">
        <v>1356</v>
      </c>
      <c r="K84" s="6" t="e">
        <f t="shared" ca="1" si="15"/>
        <v>#REF!</v>
      </c>
      <c r="L84" s="6" t="e">
        <f t="shared" ca="1" si="14"/>
        <v>#REF!</v>
      </c>
      <c r="M84" s="1" t="e">
        <f t="shared" ca="1" si="16"/>
        <v>#REF!</v>
      </c>
      <c r="N84" s="1" t="e">
        <f t="shared" ca="1" si="17"/>
        <v>#REF!</v>
      </c>
      <c r="O84" s="1" t="e">
        <f t="shared" ca="1" si="18"/>
        <v>#REF!</v>
      </c>
      <c r="P84" s="1" t="e">
        <f t="shared" ca="1" si="19"/>
        <v>#REF!</v>
      </c>
    </row>
    <row r="85" spans="1:16">
      <c r="A85" s="7"/>
      <c r="B85" s="7"/>
      <c r="C85" s="2" t="s">
        <v>968</v>
      </c>
      <c r="D85" s="7">
        <f t="shared" ca="1" si="10"/>
        <v>1</v>
      </c>
      <c r="E85" s="7" t="e">
        <f t="shared" ca="1" si="11"/>
        <v>#REF!</v>
      </c>
      <c r="F85" s="7" t="e">
        <f t="shared" ca="1" si="12"/>
        <v>#REF!</v>
      </c>
      <c r="G85" s="7" t="e">
        <f t="shared" ca="1" si="13"/>
        <v>#REF!</v>
      </c>
      <c r="H85" s="7"/>
      <c r="I85" s="7"/>
      <c r="J85" s="1" t="s">
        <v>1356</v>
      </c>
      <c r="K85" s="6" t="e">
        <f t="shared" ca="1" si="15"/>
        <v>#REF!</v>
      </c>
      <c r="L85" s="6" t="e">
        <f t="shared" ca="1" si="14"/>
        <v>#REF!</v>
      </c>
      <c r="M85" s="1" t="e">
        <f t="shared" ca="1" si="16"/>
        <v>#REF!</v>
      </c>
      <c r="N85" s="1" t="e">
        <f t="shared" ca="1" si="17"/>
        <v>#REF!</v>
      </c>
      <c r="O85" s="1" t="e">
        <f t="shared" ca="1" si="18"/>
        <v>#REF!</v>
      </c>
      <c r="P85" s="1" t="e">
        <f t="shared" ca="1" si="19"/>
        <v>#REF!</v>
      </c>
    </row>
    <row r="86" spans="1:16">
      <c r="A86" s="7"/>
      <c r="B86" s="7"/>
      <c r="C86" s="2" t="s">
        <v>4215</v>
      </c>
      <c r="D86" s="7">
        <f t="shared" ca="1" si="10"/>
        <v>1</v>
      </c>
      <c r="E86" s="7" t="e">
        <f t="shared" ca="1" si="11"/>
        <v>#REF!</v>
      </c>
      <c r="F86" s="7" t="e">
        <f t="shared" ca="1" si="12"/>
        <v>#REF!</v>
      </c>
      <c r="G86" s="7" t="e">
        <f t="shared" ca="1" si="13"/>
        <v>#REF!</v>
      </c>
      <c r="H86" s="7"/>
      <c r="I86" s="7"/>
      <c r="J86" s="1" t="s">
        <v>1356</v>
      </c>
      <c r="K86" s="6" t="e">
        <f t="shared" ca="1" si="15"/>
        <v>#REF!</v>
      </c>
      <c r="L86" s="6" t="e">
        <f t="shared" ca="1" si="14"/>
        <v>#REF!</v>
      </c>
      <c r="M86" s="1" t="e">
        <f t="shared" ca="1" si="16"/>
        <v>#REF!</v>
      </c>
      <c r="N86" s="1" t="e">
        <f t="shared" ca="1" si="17"/>
        <v>#REF!</v>
      </c>
      <c r="O86" s="1" t="e">
        <f t="shared" ca="1" si="18"/>
        <v>#REF!</v>
      </c>
      <c r="P86" s="1" t="e">
        <f t="shared" ca="1" si="19"/>
        <v>#REF!</v>
      </c>
    </row>
    <row r="87" spans="1:16">
      <c r="A87" s="7"/>
      <c r="B87" s="7"/>
      <c r="C87" s="2" t="s">
        <v>212</v>
      </c>
      <c r="D87" s="7">
        <f t="shared" ca="1" si="10"/>
        <v>1</v>
      </c>
      <c r="E87" s="7" t="e">
        <f t="shared" ca="1" si="11"/>
        <v>#REF!</v>
      </c>
      <c r="F87" s="7" t="e">
        <f t="shared" ca="1" si="12"/>
        <v>#REF!</v>
      </c>
      <c r="G87" s="7" t="e">
        <f t="shared" ca="1" si="13"/>
        <v>#REF!</v>
      </c>
      <c r="H87" s="7"/>
      <c r="I87" s="7"/>
      <c r="J87" s="1" t="s">
        <v>1356</v>
      </c>
      <c r="K87" s="6" t="e">
        <f t="shared" ca="1" si="15"/>
        <v>#REF!</v>
      </c>
      <c r="L87" s="6" t="e">
        <f t="shared" ca="1" si="14"/>
        <v>#REF!</v>
      </c>
      <c r="M87" s="1" t="e">
        <f t="shared" ca="1" si="16"/>
        <v>#REF!</v>
      </c>
      <c r="N87" s="1" t="e">
        <f t="shared" ca="1" si="17"/>
        <v>#REF!</v>
      </c>
      <c r="O87" s="1" t="e">
        <f t="shared" ca="1" si="18"/>
        <v>#REF!</v>
      </c>
      <c r="P87" s="1" t="e">
        <f t="shared" ca="1" si="19"/>
        <v>#REF!</v>
      </c>
    </row>
    <row r="88" spans="1:16">
      <c r="A88" s="7"/>
      <c r="B88" s="7"/>
      <c r="C88" s="2" t="s">
        <v>4216</v>
      </c>
      <c r="D88" s="7">
        <f t="shared" ca="1" si="10"/>
        <v>1</v>
      </c>
      <c r="E88" s="7" t="e">
        <f t="shared" ca="1" si="11"/>
        <v>#REF!</v>
      </c>
      <c r="F88" s="7" t="e">
        <f t="shared" ca="1" si="12"/>
        <v>#REF!</v>
      </c>
      <c r="G88" s="7" t="e">
        <f t="shared" ca="1" si="13"/>
        <v>#REF!</v>
      </c>
      <c r="H88" s="7"/>
      <c r="I88" s="7"/>
      <c r="J88" s="1" t="s">
        <v>1356</v>
      </c>
      <c r="K88" s="6" t="e">
        <f t="shared" ca="1" si="15"/>
        <v>#REF!</v>
      </c>
      <c r="L88" s="6" t="e">
        <f t="shared" ca="1" si="14"/>
        <v>#REF!</v>
      </c>
      <c r="M88" s="1" t="e">
        <f t="shared" ca="1" si="16"/>
        <v>#REF!</v>
      </c>
      <c r="N88" s="1" t="e">
        <f t="shared" ca="1" si="17"/>
        <v>#REF!</v>
      </c>
      <c r="O88" s="1" t="e">
        <f t="shared" ca="1" si="18"/>
        <v>#REF!</v>
      </c>
      <c r="P88" s="1" t="e">
        <f t="shared" ca="1" si="19"/>
        <v>#REF!</v>
      </c>
    </row>
    <row r="89" spans="1:16">
      <c r="A89" s="7"/>
      <c r="B89" s="7"/>
      <c r="C89" s="2" t="s">
        <v>969</v>
      </c>
      <c r="D89" s="7">
        <f t="shared" ca="1" si="10"/>
        <v>1</v>
      </c>
      <c r="E89" s="7" t="e">
        <f t="shared" ca="1" si="11"/>
        <v>#REF!</v>
      </c>
      <c r="F89" s="7" t="e">
        <f t="shared" ca="1" si="12"/>
        <v>#REF!</v>
      </c>
      <c r="G89" s="7" t="e">
        <f t="shared" ca="1" si="13"/>
        <v>#REF!</v>
      </c>
      <c r="H89" s="7"/>
      <c r="I89" s="7"/>
      <c r="J89" s="1" t="s">
        <v>1356</v>
      </c>
      <c r="K89" s="6" t="e">
        <f t="shared" ca="1" si="15"/>
        <v>#REF!</v>
      </c>
      <c r="L89" s="6" t="e">
        <f t="shared" ca="1" si="14"/>
        <v>#REF!</v>
      </c>
      <c r="M89" s="1" t="e">
        <f t="shared" ca="1" si="16"/>
        <v>#REF!</v>
      </c>
      <c r="N89" s="1" t="e">
        <f t="shared" ca="1" si="17"/>
        <v>#REF!</v>
      </c>
      <c r="O89" s="1" t="e">
        <f t="shared" ca="1" si="18"/>
        <v>#REF!</v>
      </c>
      <c r="P89" s="1" t="e">
        <f t="shared" ca="1" si="19"/>
        <v>#REF!</v>
      </c>
    </row>
    <row r="90" spans="1:16">
      <c r="A90" s="7"/>
      <c r="B90" s="7"/>
      <c r="C90" s="2" t="s">
        <v>970</v>
      </c>
      <c r="D90" s="7">
        <f t="shared" ca="1" si="10"/>
        <v>1</v>
      </c>
      <c r="E90" s="7" t="e">
        <f t="shared" ca="1" si="11"/>
        <v>#REF!</v>
      </c>
      <c r="F90" s="7" t="e">
        <f t="shared" ca="1" si="12"/>
        <v>#REF!</v>
      </c>
      <c r="G90" s="7" t="e">
        <f t="shared" ca="1" si="13"/>
        <v>#REF!</v>
      </c>
      <c r="H90" s="7"/>
      <c r="I90" s="7"/>
      <c r="J90" s="1" t="s">
        <v>1356</v>
      </c>
      <c r="K90" s="6" t="e">
        <f t="shared" ca="1" si="15"/>
        <v>#REF!</v>
      </c>
      <c r="L90" s="6" t="e">
        <f t="shared" ca="1" si="14"/>
        <v>#REF!</v>
      </c>
      <c r="M90" s="1" t="e">
        <f t="shared" ca="1" si="16"/>
        <v>#REF!</v>
      </c>
      <c r="N90" s="1" t="e">
        <f t="shared" ca="1" si="17"/>
        <v>#REF!</v>
      </c>
      <c r="O90" s="1" t="e">
        <f t="shared" ca="1" si="18"/>
        <v>#REF!</v>
      </c>
      <c r="P90" s="1" t="e">
        <f t="shared" ca="1" si="19"/>
        <v>#REF!</v>
      </c>
    </row>
    <row r="91" spans="1:16">
      <c r="A91" s="7"/>
      <c r="B91" s="7"/>
      <c r="C91" s="2" t="s">
        <v>4217</v>
      </c>
      <c r="D91" s="7">
        <f t="shared" ca="1" si="10"/>
        <v>1</v>
      </c>
      <c r="E91" s="7" t="e">
        <f t="shared" ca="1" si="11"/>
        <v>#REF!</v>
      </c>
      <c r="F91" s="7" t="e">
        <f t="shared" ca="1" si="12"/>
        <v>#REF!</v>
      </c>
      <c r="G91" s="7" t="e">
        <f t="shared" ca="1" si="13"/>
        <v>#REF!</v>
      </c>
      <c r="H91" s="7"/>
      <c r="I91" s="7"/>
      <c r="J91" s="1" t="s">
        <v>1356</v>
      </c>
      <c r="K91" s="6" t="e">
        <f t="shared" ca="1" si="15"/>
        <v>#REF!</v>
      </c>
      <c r="L91" s="6" t="e">
        <f t="shared" ca="1" si="14"/>
        <v>#REF!</v>
      </c>
      <c r="M91" s="1" t="e">
        <f t="shared" ca="1" si="16"/>
        <v>#REF!</v>
      </c>
      <c r="N91" s="1" t="e">
        <f t="shared" ca="1" si="17"/>
        <v>#REF!</v>
      </c>
      <c r="O91" s="1" t="e">
        <f t="shared" ca="1" si="18"/>
        <v>#REF!</v>
      </c>
      <c r="P91" s="1" t="e">
        <f t="shared" ca="1" si="19"/>
        <v>#REF!</v>
      </c>
    </row>
    <row r="92" spans="1:16">
      <c r="A92" s="7"/>
      <c r="B92" s="7"/>
      <c r="C92" s="2" t="s">
        <v>4218</v>
      </c>
      <c r="D92" s="7">
        <f t="shared" ca="1" si="10"/>
        <v>1</v>
      </c>
      <c r="E92" s="7" t="e">
        <f t="shared" ca="1" si="11"/>
        <v>#REF!</v>
      </c>
      <c r="F92" s="7" t="e">
        <f t="shared" ca="1" si="12"/>
        <v>#REF!</v>
      </c>
      <c r="G92" s="7" t="e">
        <f t="shared" ca="1" si="13"/>
        <v>#REF!</v>
      </c>
      <c r="H92" s="7"/>
      <c r="I92" s="7"/>
      <c r="J92" s="1" t="s">
        <v>1356</v>
      </c>
      <c r="K92" s="6" t="e">
        <f t="shared" ca="1" si="15"/>
        <v>#REF!</v>
      </c>
      <c r="L92" s="6" t="e">
        <f t="shared" ca="1" si="14"/>
        <v>#REF!</v>
      </c>
      <c r="M92" s="1" t="e">
        <f t="shared" ca="1" si="16"/>
        <v>#REF!</v>
      </c>
      <c r="N92" s="1" t="e">
        <f t="shared" ca="1" si="17"/>
        <v>#REF!</v>
      </c>
      <c r="O92" s="1" t="e">
        <f t="shared" ca="1" si="18"/>
        <v>#REF!</v>
      </c>
      <c r="P92" s="1" t="e">
        <f t="shared" ca="1" si="19"/>
        <v>#REF!</v>
      </c>
    </row>
    <row r="93" spans="1:16">
      <c r="A93" s="7"/>
      <c r="B93" s="7"/>
      <c r="C93" s="2" t="s">
        <v>217</v>
      </c>
      <c r="D93" s="7">
        <f t="shared" ca="1" si="10"/>
        <v>1</v>
      </c>
      <c r="E93" s="7" t="e">
        <f t="shared" ca="1" si="11"/>
        <v>#REF!</v>
      </c>
      <c r="F93" s="7" t="e">
        <f t="shared" ca="1" si="12"/>
        <v>#REF!</v>
      </c>
      <c r="G93" s="7" t="e">
        <f t="shared" ca="1" si="13"/>
        <v>#REF!</v>
      </c>
      <c r="H93" s="7"/>
      <c r="I93" s="7"/>
      <c r="J93" s="1" t="s">
        <v>1356</v>
      </c>
      <c r="K93" s="6" t="e">
        <f t="shared" ca="1" si="15"/>
        <v>#REF!</v>
      </c>
      <c r="L93" s="6" t="e">
        <f t="shared" ca="1" si="14"/>
        <v>#REF!</v>
      </c>
      <c r="M93" s="1" t="e">
        <f t="shared" ca="1" si="16"/>
        <v>#REF!</v>
      </c>
      <c r="N93" s="1" t="e">
        <f t="shared" ca="1" si="17"/>
        <v>#REF!</v>
      </c>
      <c r="O93" s="1" t="e">
        <f t="shared" ca="1" si="18"/>
        <v>#REF!</v>
      </c>
      <c r="P93" s="1" t="e">
        <f t="shared" ca="1" si="19"/>
        <v>#REF!</v>
      </c>
    </row>
    <row r="94" spans="1:16">
      <c r="A94" s="7"/>
      <c r="B94" s="7"/>
      <c r="C94" s="2" t="s">
        <v>221</v>
      </c>
      <c r="D94" s="7">
        <f t="shared" ca="1" si="10"/>
        <v>1</v>
      </c>
      <c r="E94" s="7" t="e">
        <f t="shared" ca="1" si="11"/>
        <v>#REF!</v>
      </c>
      <c r="F94" s="7" t="e">
        <f t="shared" ca="1" si="12"/>
        <v>#REF!</v>
      </c>
      <c r="G94" s="7" t="e">
        <f t="shared" ca="1" si="13"/>
        <v>#REF!</v>
      </c>
      <c r="H94" s="7"/>
      <c r="I94" s="7"/>
      <c r="J94" s="1" t="s">
        <v>1356</v>
      </c>
      <c r="K94" s="6" t="e">
        <f t="shared" ca="1" si="15"/>
        <v>#REF!</v>
      </c>
      <c r="L94" s="6" t="e">
        <f t="shared" ca="1" si="14"/>
        <v>#REF!</v>
      </c>
      <c r="M94" s="1" t="e">
        <f t="shared" ca="1" si="16"/>
        <v>#REF!</v>
      </c>
      <c r="N94" s="1" t="e">
        <f t="shared" ca="1" si="17"/>
        <v>#REF!</v>
      </c>
      <c r="O94" s="1" t="e">
        <f t="shared" ca="1" si="18"/>
        <v>#REF!</v>
      </c>
      <c r="P94" s="1" t="e">
        <f t="shared" ca="1" si="19"/>
        <v>#REF!</v>
      </c>
    </row>
    <row r="95" spans="1:16">
      <c r="A95" s="7"/>
      <c r="B95" s="7"/>
      <c r="C95" s="2" t="s">
        <v>4219</v>
      </c>
      <c r="D95" s="7">
        <f t="shared" ca="1" si="10"/>
        <v>1</v>
      </c>
      <c r="E95" s="7" t="e">
        <f t="shared" ca="1" si="11"/>
        <v>#REF!</v>
      </c>
      <c r="F95" s="7" t="e">
        <f t="shared" ca="1" si="12"/>
        <v>#REF!</v>
      </c>
      <c r="G95" s="7" t="e">
        <f t="shared" ca="1" si="13"/>
        <v>#REF!</v>
      </c>
      <c r="H95" s="7"/>
      <c r="I95" s="7"/>
      <c r="J95" s="1" t="s">
        <v>1356</v>
      </c>
      <c r="K95" s="6" t="e">
        <f t="shared" ca="1" si="15"/>
        <v>#REF!</v>
      </c>
      <c r="L95" s="6" t="e">
        <f t="shared" ca="1" si="14"/>
        <v>#REF!</v>
      </c>
      <c r="M95" s="1" t="e">
        <f t="shared" ca="1" si="16"/>
        <v>#REF!</v>
      </c>
      <c r="N95" s="1" t="e">
        <f t="shared" ca="1" si="17"/>
        <v>#REF!</v>
      </c>
      <c r="O95" s="1" t="e">
        <f t="shared" ca="1" si="18"/>
        <v>#REF!</v>
      </c>
      <c r="P95" s="1" t="e">
        <f t="shared" ca="1" si="19"/>
        <v>#REF!</v>
      </c>
    </row>
    <row r="96" spans="1:16">
      <c r="A96" s="7"/>
      <c r="B96" s="7"/>
      <c r="C96" s="2" t="s">
        <v>4220</v>
      </c>
      <c r="D96" s="7">
        <f t="shared" ca="1" si="10"/>
        <v>1</v>
      </c>
      <c r="E96" s="7" t="e">
        <f t="shared" ca="1" si="11"/>
        <v>#REF!</v>
      </c>
      <c r="F96" s="7" t="e">
        <f t="shared" ca="1" si="12"/>
        <v>#REF!</v>
      </c>
      <c r="G96" s="7" t="e">
        <f t="shared" ca="1" si="13"/>
        <v>#REF!</v>
      </c>
      <c r="H96" s="7"/>
      <c r="I96" s="7"/>
      <c r="J96" s="1" t="s">
        <v>1356</v>
      </c>
      <c r="K96" s="6" t="e">
        <f t="shared" ca="1" si="15"/>
        <v>#REF!</v>
      </c>
      <c r="L96" s="6" t="e">
        <f t="shared" ca="1" si="14"/>
        <v>#REF!</v>
      </c>
      <c r="M96" s="1" t="e">
        <f t="shared" ca="1" si="16"/>
        <v>#REF!</v>
      </c>
      <c r="N96" s="1" t="e">
        <f t="shared" ca="1" si="17"/>
        <v>#REF!</v>
      </c>
      <c r="O96" s="1" t="e">
        <f t="shared" ca="1" si="18"/>
        <v>#REF!</v>
      </c>
      <c r="P96" s="1" t="e">
        <f t="shared" ca="1" si="19"/>
        <v>#REF!</v>
      </c>
    </row>
    <row r="97" spans="1:16">
      <c r="A97" s="7"/>
      <c r="B97" s="7"/>
      <c r="C97" s="2" t="s">
        <v>779</v>
      </c>
      <c r="D97" s="7">
        <f t="shared" ca="1" si="10"/>
        <v>1</v>
      </c>
      <c r="E97" s="7" t="e">
        <f t="shared" ca="1" si="11"/>
        <v>#REF!</v>
      </c>
      <c r="F97" s="7" t="e">
        <f t="shared" ca="1" si="12"/>
        <v>#REF!</v>
      </c>
      <c r="G97" s="7" t="e">
        <f t="shared" ca="1" si="13"/>
        <v>#REF!</v>
      </c>
      <c r="H97" s="7"/>
      <c r="I97" s="7"/>
      <c r="J97" s="1" t="s">
        <v>1356</v>
      </c>
      <c r="K97" s="6" t="e">
        <f t="shared" ca="1" si="15"/>
        <v>#REF!</v>
      </c>
      <c r="L97" s="6" t="e">
        <f t="shared" ca="1" si="14"/>
        <v>#REF!</v>
      </c>
      <c r="M97" s="1" t="e">
        <f t="shared" ca="1" si="16"/>
        <v>#REF!</v>
      </c>
      <c r="N97" s="1" t="e">
        <f t="shared" ca="1" si="17"/>
        <v>#REF!</v>
      </c>
      <c r="O97" s="1" t="e">
        <f t="shared" ca="1" si="18"/>
        <v>#REF!</v>
      </c>
      <c r="P97" s="1" t="e">
        <f t="shared" ca="1" si="19"/>
        <v>#REF!</v>
      </c>
    </row>
    <row r="98" spans="1:16">
      <c r="A98" s="7"/>
      <c r="B98" s="7"/>
      <c r="C98" s="2" t="s">
        <v>4221</v>
      </c>
      <c r="D98" s="7">
        <f t="shared" ca="1" si="10"/>
        <v>1</v>
      </c>
      <c r="E98" s="7" t="e">
        <f t="shared" ca="1" si="11"/>
        <v>#REF!</v>
      </c>
      <c r="F98" s="7" t="e">
        <f t="shared" ca="1" si="12"/>
        <v>#REF!</v>
      </c>
      <c r="G98" s="7" t="e">
        <f t="shared" ca="1" si="13"/>
        <v>#REF!</v>
      </c>
      <c r="H98" s="7"/>
      <c r="I98" s="7"/>
      <c r="J98" s="1" t="s">
        <v>1356</v>
      </c>
      <c r="K98" s="6" t="e">
        <f t="shared" ca="1" si="15"/>
        <v>#REF!</v>
      </c>
      <c r="L98" s="6" t="e">
        <f t="shared" ca="1" si="14"/>
        <v>#REF!</v>
      </c>
      <c r="M98" s="1" t="e">
        <f t="shared" ca="1" si="16"/>
        <v>#REF!</v>
      </c>
      <c r="N98" s="1" t="e">
        <f t="shared" ca="1" si="17"/>
        <v>#REF!</v>
      </c>
      <c r="O98" s="1" t="e">
        <f t="shared" ca="1" si="18"/>
        <v>#REF!</v>
      </c>
      <c r="P98" s="1" t="e">
        <f t="shared" ca="1" si="19"/>
        <v>#REF!</v>
      </c>
    </row>
    <row r="99" spans="1:16">
      <c r="A99" s="7"/>
      <c r="B99" s="7"/>
      <c r="C99" s="2" t="s">
        <v>971</v>
      </c>
      <c r="D99" s="7">
        <f t="shared" ca="1" si="10"/>
        <v>1</v>
      </c>
      <c r="E99" s="7" t="e">
        <f t="shared" ca="1" si="11"/>
        <v>#REF!</v>
      </c>
      <c r="F99" s="7" t="e">
        <f t="shared" ca="1" si="12"/>
        <v>#REF!</v>
      </c>
      <c r="G99" s="7" t="e">
        <f t="shared" ca="1" si="13"/>
        <v>#REF!</v>
      </c>
      <c r="H99" s="7"/>
      <c r="I99" s="7"/>
      <c r="J99" s="1" t="s">
        <v>1356</v>
      </c>
      <c r="K99" s="6" t="e">
        <f t="shared" ca="1" si="15"/>
        <v>#REF!</v>
      </c>
      <c r="L99" s="6" t="e">
        <f t="shared" ca="1" si="14"/>
        <v>#REF!</v>
      </c>
      <c r="M99" s="1" t="e">
        <f t="shared" ca="1" si="16"/>
        <v>#REF!</v>
      </c>
      <c r="N99" s="1" t="e">
        <f t="shared" ca="1" si="17"/>
        <v>#REF!</v>
      </c>
      <c r="O99" s="1" t="e">
        <f t="shared" ca="1" si="18"/>
        <v>#REF!</v>
      </c>
      <c r="P99" s="1" t="e">
        <f t="shared" ca="1" si="19"/>
        <v>#REF!</v>
      </c>
    </row>
    <row r="100" spans="1:16">
      <c r="A100" s="7"/>
      <c r="B100" s="7"/>
      <c r="C100" s="2" t="s">
        <v>4222</v>
      </c>
      <c r="D100" s="7">
        <f t="shared" ca="1" si="10"/>
        <v>1</v>
      </c>
      <c r="E100" s="7" t="e">
        <f t="shared" ca="1" si="11"/>
        <v>#REF!</v>
      </c>
      <c r="F100" s="7" t="e">
        <f t="shared" ca="1" si="12"/>
        <v>#REF!</v>
      </c>
      <c r="G100" s="7" t="e">
        <f t="shared" ca="1" si="13"/>
        <v>#REF!</v>
      </c>
      <c r="H100" s="7"/>
      <c r="I100" s="7"/>
      <c r="J100" s="1" t="s">
        <v>1356</v>
      </c>
      <c r="K100" s="6" t="e">
        <f t="shared" ca="1" si="15"/>
        <v>#REF!</v>
      </c>
      <c r="L100" s="6" t="e">
        <f t="shared" ca="1" si="14"/>
        <v>#REF!</v>
      </c>
      <c r="M100" s="1" t="e">
        <f t="shared" ca="1" si="16"/>
        <v>#REF!</v>
      </c>
      <c r="N100" s="1" t="e">
        <f t="shared" ca="1" si="17"/>
        <v>#REF!</v>
      </c>
      <c r="O100" s="1" t="e">
        <f t="shared" ca="1" si="18"/>
        <v>#REF!</v>
      </c>
      <c r="P100" s="1" t="e">
        <f t="shared" ca="1" si="19"/>
        <v>#REF!</v>
      </c>
    </row>
    <row r="101" spans="1:16">
      <c r="A101" s="7"/>
      <c r="B101" s="7"/>
      <c r="C101" s="2" t="s">
        <v>1056</v>
      </c>
      <c r="D101" s="7">
        <f t="shared" ca="1" si="10"/>
        <v>1</v>
      </c>
      <c r="E101" s="7" t="e">
        <f t="shared" ca="1" si="11"/>
        <v>#REF!</v>
      </c>
      <c r="F101" s="7" t="e">
        <f t="shared" ca="1" si="12"/>
        <v>#REF!</v>
      </c>
      <c r="G101" s="7" t="e">
        <f t="shared" ca="1" si="13"/>
        <v>#REF!</v>
      </c>
      <c r="H101" s="7"/>
      <c r="I101" s="7"/>
      <c r="J101" s="1" t="s">
        <v>1356</v>
      </c>
      <c r="K101" s="6" t="e">
        <f t="shared" ca="1" si="15"/>
        <v>#REF!</v>
      </c>
      <c r="L101" s="6" t="e">
        <f t="shared" ca="1" si="14"/>
        <v>#REF!</v>
      </c>
      <c r="M101" s="1" t="e">
        <f t="shared" ca="1" si="16"/>
        <v>#REF!</v>
      </c>
      <c r="N101" s="1" t="e">
        <f t="shared" ca="1" si="17"/>
        <v>#REF!</v>
      </c>
      <c r="O101" s="1" t="e">
        <f t="shared" ca="1" si="18"/>
        <v>#REF!</v>
      </c>
      <c r="P101" s="1" t="e">
        <f t="shared" ca="1" si="19"/>
        <v>#REF!</v>
      </c>
    </row>
    <row r="102" spans="1:16">
      <c r="A102" s="7"/>
      <c r="B102" s="7"/>
      <c r="C102" s="2" t="s">
        <v>1059</v>
      </c>
      <c r="D102" s="7">
        <f t="shared" ca="1" si="10"/>
        <v>1</v>
      </c>
      <c r="E102" s="7" t="e">
        <f t="shared" ca="1" si="11"/>
        <v>#REF!</v>
      </c>
      <c r="F102" s="7" t="e">
        <f t="shared" ca="1" si="12"/>
        <v>#REF!</v>
      </c>
      <c r="G102" s="7" t="e">
        <f t="shared" ca="1" si="13"/>
        <v>#REF!</v>
      </c>
      <c r="H102" s="7"/>
      <c r="I102" s="7"/>
      <c r="J102" s="1" t="s">
        <v>1356</v>
      </c>
      <c r="K102" s="6" t="e">
        <f t="shared" ca="1" si="15"/>
        <v>#REF!</v>
      </c>
      <c r="L102" s="6" t="e">
        <f t="shared" ca="1" si="14"/>
        <v>#REF!</v>
      </c>
      <c r="M102" s="1" t="e">
        <f t="shared" ca="1" si="16"/>
        <v>#REF!</v>
      </c>
      <c r="N102" s="1" t="e">
        <f t="shared" ca="1" si="17"/>
        <v>#REF!</v>
      </c>
      <c r="O102" s="1" t="e">
        <f t="shared" ca="1" si="18"/>
        <v>#REF!</v>
      </c>
      <c r="P102" s="1" t="e">
        <f t="shared" ca="1" si="19"/>
        <v>#REF!</v>
      </c>
    </row>
    <row r="103" spans="1:16">
      <c r="A103" s="7"/>
      <c r="B103" s="7"/>
      <c r="C103" s="2" t="s">
        <v>42</v>
      </c>
      <c r="D103" s="7">
        <f t="shared" ca="1" si="10"/>
        <v>1</v>
      </c>
      <c r="E103" s="7" t="e">
        <f t="shared" ca="1" si="11"/>
        <v>#REF!</v>
      </c>
      <c r="F103" s="7" t="e">
        <f t="shared" ca="1" si="12"/>
        <v>#REF!</v>
      </c>
      <c r="G103" s="7" t="e">
        <f t="shared" ca="1" si="13"/>
        <v>#REF!</v>
      </c>
      <c r="H103" s="7"/>
      <c r="I103" s="7"/>
      <c r="J103" s="1" t="s">
        <v>1356</v>
      </c>
      <c r="K103" s="6" t="e">
        <f t="shared" ca="1" si="15"/>
        <v>#REF!</v>
      </c>
      <c r="L103" s="6" t="e">
        <f t="shared" ca="1" si="14"/>
        <v>#REF!</v>
      </c>
      <c r="M103" s="1" t="e">
        <f t="shared" ca="1" si="16"/>
        <v>#REF!</v>
      </c>
      <c r="N103" s="1" t="e">
        <f t="shared" ca="1" si="17"/>
        <v>#REF!</v>
      </c>
      <c r="O103" s="1" t="e">
        <f t="shared" ca="1" si="18"/>
        <v>#REF!</v>
      </c>
      <c r="P103" s="1" t="e">
        <f t="shared" ca="1" si="19"/>
        <v>#REF!</v>
      </c>
    </row>
    <row r="104" spans="1:16">
      <c r="A104" s="7"/>
      <c r="B104" s="7"/>
      <c r="C104" s="2" t="s">
        <v>4223</v>
      </c>
      <c r="D104" s="7">
        <f t="shared" ca="1" si="10"/>
        <v>1</v>
      </c>
      <c r="E104" s="7" t="e">
        <f t="shared" ca="1" si="11"/>
        <v>#REF!</v>
      </c>
      <c r="F104" s="7" t="e">
        <f t="shared" ca="1" si="12"/>
        <v>#REF!</v>
      </c>
      <c r="G104" s="7" t="e">
        <f t="shared" ca="1" si="13"/>
        <v>#REF!</v>
      </c>
      <c r="H104" s="7"/>
      <c r="I104" s="7"/>
      <c r="J104" s="1" t="s">
        <v>1356</v>
      </c>
      <c r="K104" s="6" t="e">
        <f t="shared" ca="1" si="15"/>
        <v>#REF!</v>
      </c>
      <c r="L104" s="6" t="e">
        <f t="shared" ca="1" si="14"/>
        <v>#REF!</v>
      </c>
      <c r="M104" s="1" t="e">
        <f t="shared" ca="1" si="16"/>
        <v>#REF!</v>
      </c>
      <c r="N104" s="1" t="e">
        <f t="shared" ca="1" si="17"/>
        <v>#REF!</v>
      </c>
      <c r="O104" s="1" t="e">
        <f t="shared" ca="1" si="18"/>
        <v>#REF!</v>
      </c>
      <c r="P104" s="1" t="e">
        <f t="shared" ca="1" si="19"/>
        <v>#REF!</v>
      </c>
    </row>
    <row r="105" spans="1:16">
      <c r="A105" s="7"/>
      <c r="B105" s="7"/>
      <c r="C105" s="2" t="s">
        <v>4224</v>
      </c>
      <c r="D105" s="7">
        <f t="shared" ca="1" si="10"/>
        <v>1</v>
      </c>
      <c r="E105" s="7" t="e">
        <f t="shared" ca="1" si="11"/>
        <v>#REF!</v>
      </c>
      <c r="F105" s="7" t="e">
        <f t="shared" ca="1" si="12"/>
        <v>#REF!</v>
      </c>
      <c r="G105" s="7" t="e">
        <f t="shared" ca="1" si="13"/>
        <v>#REF!</v>
      </c>
      <c r="H105" s="7"/>
      <c r="I105" s="7"/>
      <c r="J105" s="1" t="s">
        <v>1356</v>
      </c>
      <c r="K105" s="6" t="e">
        <f t="shared" ca="1" si="15"/>
        <v>#REF!</v>
      </c>
      <c r="L105" s="6" t="e">
        <f t="shared" ca="1" si="14"/>
        <v>#REF!</v>
      </c>
      <c r="M105" s="1" t="e">
        <f t="shared" ca="1" si="16"/>
        <v>#REF!</v>
      </c>
      <c r="N105" s="1" t="e">
        <f t="shared" ca="1" si="17"/>
        <v>#REF!</v>
      </c>
      <c r="O105" s="1" t="e">
        <f t="shared" ca="1" si="18"/>
        <v>#REF!</v>
      </c>
      <c r="P105" s="1" t="e">
        <f t="shared" ca="1" si="19"/>
        <v>#REF!</v>
      </c>
    </row>
    <row r="106" spans="1:16">
      <c r="A106" s="7"/>
      <c r="B106" s="7"/>
      <c r="C106" s="2" t="s">
        <v>295</v>
      </c>
      <c r="D106" s="7">
        <f t="shared" ca="1" si="10"/>
        <v>1</v>
      </c>
      <c r="E106" s="7" t="e">
        <f t="shared" ca="1" si="11"/>
        <v>#REF!</v>
      </c>
      <c r="F106" s="7" t="e">
        <f t="shared" ca="1" si="12"/>
        <v>#REF!</v>
      </c>
      <c r="G106" s="7" t="e">
        <f t="shared" ca="1" si="13"/>
        <v>#REF!</v>
      </c>
      <c r="H106" s="7"/>
      <c r="I106" s="7"/>
      <c r="J106" s="1" t="s">
        <v>1356</v>
      </c>
      <c r="K106" s="6" t="e">
        <f t="shared" ca="1" si="15"/>
        <v>#REF!</v>
      </c>
      <c r="L106" s="6" t="e">
        <f t="shared" ca="1" si="14"/>
        <v>#REF!</v>
      </c>
      <c r="M106" s="1" t="e">
        <f t="shared" ca="1" si="16"/>
        <v>#REF!</v>
      </c>
      <c r="N106" s="1" t="e">
        <f t="shared" ca="1" si="17"/>
        <v>#REF!</v>
      </c>
      <c r="O106" s="1" t="e">
        <f t="shared" ca="1" si="18"/>
        <v>#REF!</v>
      </c>
      <c r="P106" s="1" t="e">
        <f t="shared" ca="1" si="19"/>
        <v>#REF!</v>
      </c>
    </row>
    <row r="107" spans="1:16">
      <c r="A107" s="7"/>
      <c r="B107" s="7"/>
      <c r="C107" s="2" t="s">
        <v>4225</v>
      </c>
      <c r="D107" s="7">
        <f t="shared" ca="1" si="10"/>
        <v>1</v>
      </c>
      <c r="E107" s="7" t="e">
        <f t="shared" ca="1" si="11"/>
        <v>#REF!</v>
      </c>
      <c r="F107" s="7" t="e">
        <f t="shared" ca="1" si="12"/>
        <v>#REF!</v>
      </c>
      <c r="G107" s="7" t="e">
        <f t="shared" ca="1" si="13"/>
        <v>#REF!</v>
      </c>
      <c r="H107" s="7"/>
      <c r="I107" s="7"/>
      <c r="J107" s="1" t="s">
        <v>1356</v>
      </c>
      <c r="K107" s="6" t="e">
        <f t="shared" ca="1" si="15"/>
        <v>#REF!</v>
      </c>
      <c r="L107" s="6" t="e">
        <f t="shared" ca="1" si="14"/>
        <v>#REF!</v>
      </c>
      <c r="M107" s="1" t="e">
        <f t="shared" ca="1" si="16"/>
        <v>#REF!</v>
      </c>
      <c r="N107" s="1" t="e">
        <f t="shared" ca="1" si="17"/>
        <v>#REF!</v>
      </c>
      <c r="O107" s="1" t="e">
        <f t="shared" ca="1" si="18"/>
        <v>#REF!</v>
      </c>
      <c r="P107" s="1" t="e">
        <f t="shared" ca="1" si="19"/>
        <v>#REF!</v>
      </c>
    </row>
    <row r="108" spans="1:16">
      <c r="A108" s="7"/>
      <c r="B108" s="7"/>
      <c r="C108" s="2" t="s">
        <v>4226</v>
      </c>
      <c r="D108" s="7">
        <f t="shared" ca="1" si="10"/>
        <v>1</v>
      </c>
      <c r="E108" s="7" t="e">
        <f t="shared" ca="1" si="11"/>
        <v>#REF!</v>
      </c>
      <c r="F108" s="7" t="e">
        <f t="shared" ca="1" si="12"/>
        <v>#REF!</v>
      </c>
      <c r="G108" s="7" t="e">
        <f t="shared" ca="1" si="13"/>
        <v>#REF!</v>
      </c>
      <c r="H108" s="7"/>
      <c r="I108" s="7"/>
      <c r="J108" s="1" t="s">
        <v>1356</v>
      </c>
      <c r="K108" s="6" t="e">
        <f t="shared" ca="1" si="15"/>
        <v>#REF!</v>
      </c>
      <c r="L108" s="6" t="e">
        <f t="shared" ca="1" si="14"/>
        <v>#REF!</v>
      </c>
      <c r="M108" s="1" t="e">
        <f t="shared" ca="1" si="16"/>
        <v>#REF!</v>
      </c>
      <c r="N108" s="1" t="e">
        <f t="shared" ca="1" si="17"/>
        <v>#REF!</v>
      </c>
      <c r="O108" s="1" t="e">
        <f t="shared" ca="1" si="18"/>
        <v>#REF!</v>
      </c>
      <c r="P108" s="1" t="e">
        <f t="shared" ca="1" si="19"/>
        <v>#REF!</v>
      </c>
    </row>
    <row r="109" spans="1:16">
      <c r="A109" s="7"/>
      <c r="B109" s="7"/>
      <c r="C109" s="2" t="s">
        <v>972</v>
      </c>
      <c r="D109" s="7">
        <f t="shared" ca="1" si="10"/>
        <v>1</v>
      </c>
      <c r="E109" s="7" t="e">
        <f t="shared" ca="1" si="11"/>
        <v>#REF!</v>
      </c>
      <c r="F109" s="7" t="e">
        <f t="shared" ca="1" si="12"/>
        <v>#REF!</v>
      </c>
      <c r="G109" s="7" t="e">
        <f t="shared" ca="1" si="13"/>
        <v>#REF!</v>
      </c>
      <c r="H109" s="7"/>
      <c r="I109" s="7"/>
      <c r="J109" s="1" t="s">
        <v>1356</v>
      </c>
      <c r="K109" s="6" t="e">
        <f t="shared" ca="1" si="15"/>
        <v>#REF!</v>
      </c>
      <c r="L109" s="6" t="e">
        <f t="shared" ca="1" si="14"/>
        <v>#REF!</v>
      </c>
      <c r="M109" s="1" t="e">
        <f t="shared" ca="1" si="16"/>
        <v>#REF!</v>
      </c>
      <c r="N109" s="1" t="e">
        <f t="shared" ca="1" si="17"/>
        <v>#REF!</v>
      </c>
      <c r="O109" s="1" t="e">
        <f t="shared" ca="1" si="18"/>
        <v>#REF!</v>
      </c>
      <c r="P109" s="1" t="e">
        <f t="shared" ca="1" si="19"/>
        <v>#REF!</v>
      </c>
    </row>
    <row r="110" spans="1:16">
      <c r="A110" s="7"/>
      <c r="B110" s="7"/>
      <c r="C110" s="2" t="s">
        <v>4227</v>
      </c>
      <c r="D110" s="7">
        <f t="shared" ca="1" si="10"/>
        <v>1</v>
      </c>
      <c r="E110" s="7" t="e">
        <f t="shared" ca="1" si="11"/>
        <v>#REF!</v>
      </c>
      <c r="F110" s="7" t="e">
        <f t="shared" ca="1" si="12"/>
        <v>#REF!</v>
      </c>
      <c r="G110" s="7" t="e">
        <f t="shared" ca="1" si="13"/>
        <v>#REF!</v>
      </c>
      <c r="H110" s="7"/>
      <c r="I110" s="7"/>
      <c r="J110" s="1" t="s">
        <v>1356</v>
      </c>
      <c r="K110" s="6" t="e">
        <f t="shared" ca="1" si="15"/>
        <v>#REF!</v>
      </c>
      <c r="L110" s="6" t="e">
        <f t="shared" ca="1" si="14"/>
        <v>#REF!</v>
      </c>
      <c r="M110" s="1" t="e">
        <f t="shared" ca="1" si="16"/>
        <v>#REF!</v>
      </c>
      <c r="N110" s="1" t="e">
        <f t="shared" ca="1" si="17"/>
        <v>#REF!</v>
      </c>
      <c r="O110" s="1" t="e">
        <f t="shared" ca="1" si="18"/>
        <v>#REF!</v>
      </c>
      <c r="P110" s="1" t="e">
        <f t="shared" ca="1" si="19"/>
        <v>#REF!</v>
      </c>
    </row>
    <row r="111" spans="1:16">
      <c r="A111" s="7"/>
      <c r="B111" s="7"/>
      <c r="C111" s="2" t="s">
        <v>4228</v>
      </c>
      <c r="D111" s="7">
        <f t="shared" ca="1" si="10"/>
        <v>1</v>
      </c>
      <c r="E111" s="7" t="e">
        <f t="shared" ca="1" si="11"/>
        <v>#REF!</v>
      </c>
      <c r="F111" s="7" t="e">
        <f t="shared" ca="1" si="12"/>
        <v>#REF!</v>
      </c>
      <c r="G111" s="7" t="e">
        <f t="shared" ca="1" si="13"/>
        <v>#REF!</v>
      </c>
      <c r="H111" s="7"/>
      <c r="I111" s="7"/>
      <c r="J111" s="1" t="s">
        <v>1356</v>
      </c>
      <c r="K111" s="6" t="e">
        <f t="shared" ca="1" si="15"/>
        <v>#REF!</v>
      </c>
      <c r="L111" s="6" t="e">
        <f t="shared" ca="1" si="14"/>
        <v>#REF!</v>
      </c>
      <c r="M111" s="1" t="e">
        <f t="shared" ca="1" si="16"/>
        <v>#REF!</v>
      </c>
      <c r="N111" s="1" t="e">
        <f t="shared" ca="1" si="17"/>
        <v>#REF!</v>
      </c>
      <c r="O111" s="1" t="e">
        <f t="shared" ca="1" si="18"/>
        <v>#REF!</v>
      </c>
      <c r="P111" s="1" t="e">
        <f t="shared" ca="1" si="19"/>
        <v>#REF!</v>
      </c>
    </row>
    <row r="112" spans="1:16">
      <c r="A112" s="7"/>
      <c r="B112" s="7"/>
      <c r="C112" s="2" t="s">
        <v>4229</v>
      </c>
      <c r="D112" s="7">
        <f t="shared" ca="1" si="10"/>
        <v>1</v>
      </c>
      <c r="E112" s="7" t="e">
        <f t="shared" ca="1" si="11"/>
        <v>#REF!</v>
      </c>
      <c r="F112" s="7" t="e">
        <f t="shared" ca="1" si="12"/>
        <v>#REF!</v>
      </c>
      <c r="G112" s="7" t="e">
        <f t="shared" ca="1" si="13"/>
        <v>#REF!</v>
      </c>
      <c r="H112" s="7"/>
      <c r="I112" s="7"/>
      <c r="J112" s="1" t="s">
        <v>1356</v>
      </c>
      <c r="K112" s="6" t="e">
        <f t="shared" ca="1" si="15"/>
        <v>#REF!</v>
      </c>
      <c r="L112" s="6" t="e">
        <f t="shared" ca="1" si="14"/>
        <v>#REF!</v>
      </c>
      <c r="M112" s="1" t="e">
        <f t="shared" ca="1" si="16"/>
        <v>#REF!</v>
      </c>
      <c r="N112" s="1" t="e">
        <f t="shared" ca="1" si="17"/>
        <v>#REF!</v>
      </c>
      <c r="O112" s="1" t="e">
        <f t="shared" ca="1" si="18"/>
        <v>#REF!</v>
      </c>
      <c r="P112" s="1" t="e">
        <f t="shared" ca="1" si="19"/>
        <v>#REF!</v>
      </c>
    </row>
    <row r="113" spans="1:16">
      <c r="A113" s="7"/>
      <c r="B113" s="7"/>
      <c r="C113" s="2" t="s">
        <v>4230</v>
      </c>
      <c r="D113" s="7">
        <f t="shared" ca="1" si="10"/>
        <v>1</v>
      </c>
      <c r="E113" s="7" t="e">
        <f t="shared" ca="1" si="11"/>
        <v>#REF!</v>
      </c>
      <c r="F113" s="7" t="e">
        <f t="shared" ca="1" si="12"/>
        <v>#REF!</v>
      </c>
      <c r="G113" s="7" t="e">
        <f t="shared" ca="1" si="13"/>
        <v>#REF!</v>
      </c>
      <c r="H113" s="7"/>
      <c r="I113" s="7"/>
      <c r="J113" s="1" t="s">
        <v>1356</v>
      </c>
      <c r="K113" s="6" t="e">
        <f t="shared" ca="1" si="15"/>
        <v>#REF!</v>
      </c>
      <c r="L113" s="6" t="e">
        <f t="shared" ca="1" si="14"/>
        <v>#REF!</v>
      </c>
      <c r="M113" s="1" t="e">
        <f t="shared" ca="1" si="16"/>
        <v>#REF!</v>
      </c>
      <c r="N113" s="1" t="e">
        <f t="shared" ca="1" si="17"/>
        <v>#REF!</v>
      </c>
      <c r="O113" s="1" t="e">
        <f t="shared" ca="1" si="18"/>
        <v>#REF!</v>
      </c>
      <c r="P113" s="1" t="e">
        <f t="shared" ca="1" si="19"/>
        <v>#REF!</v>
      </c>
    </row>
    <row r="114" spans="1:16">
      <c r="A114" s="7"/>
      <c r="B114" s="7"/>
      <c r="C114" s="2" t="s">
        <v>4231</v>
      </c>
      <c r="D114" s="7">
        <f t="shared" ca="1" si="10"/>
        <v>1</v>
      </c>
      <c r="E114" s="7" t="e">
        <f t="shared" ca="1" si="11"/>
        <v>#REF!</v>
      </c>
      <c r="F114" s="7" t="e">
        <f t="shared" ca="1" si="12"/>
        <v>#REF!</v>
      </c>
      <c r="G114" s="7" t="e">
        <f t="shared" ca="1" si="13"/>
        <v>#REF!</v>
      </c>
      <c r="H114" s="7"/>
      <c r="I114" s="7"/>
      <c r="J114" s="1" t="s">
        <v>1356</v>
      </c>
      <c r="K114" s="6" t="e">
        <f t="shared" ca="1" si="15"/>
        <v>#REF!</v>
      </c>
      <c r="L114" s="6" t="e">
        <f t="shared" ca="1" si="14"/>
        <v>#REF!</v>
      </c>
      <c r="M114" s="1" t="e">
        <f t="shared" ca="1" si="16"/>
        <v>#REF!</v>
      </c>
      <c r="N114" s="1" t="e">
        <f t="shared" ca="1" si="17"/>
        <v>#REF!</v>
      </c>
      <c r="O114" s="1" t="e">
        <f t="shared" ca="1" si="18"/>
        <v>#REF!</v>
      </c>
      <c r="P114" s="1" t="e">
        <f t="shared" ca="1" si="19"/>
        <v>#REF!</v>
      </c>
    </row>
    <row r="115" spans="1:16">
      <c r="A115" s="7"/>
      <c r="B115" s="7"/>
      <c r="C115" s="2" t="s">
        <v>930</v>
      </c>
      <c r="D115" s="7">
        <f t="shared" ca="1" si="10"/>
        <v>1</v>
      </c>
      <c r="E115" s="7" t="e">
        <f t="shared" ca="1" si="11"/>
        <v>#REF!</v>
      </c>
      <c r="F115" s="7" t="e">
        <f t="shared" ca="1" si="12"/>
        <v>#REF!</v>
      </c>
      <c r="G115" s="7" t="e">
        <f t="shared" ca="1" si="13"/>
        <v>#REF!</v>
      </c>
      <c r="H115" s="7"/>
      <c r="I115" s="7"/>
      <c r="J115" s="1" t="s">
        <v>1356</v>
      </c>
      <c r="K115" s="6" t="e">
        <f t="shared" ca="1" si="15"/>
        <v>#REF!</v>
      </c>
      <c r="L115" s="6" t="e">
        <f t="shared" ca="1" si="14"/>
        <v>#REF!</v>
      </c>
      <c r="M115" s="1" t="e">
        <f t="shared" ca="1" si="16"/>
        <v>#REF!</v>
      </c>
      <c r="N115" s="1" t="e">
        <f t="shared" ca="1" si="17"/>
        <v>#REF!</v>
      </c>
      <c r="O115" s="1" t="e">
        <f t="shared" ca="1" si="18"/>
        <v>#REF!</v>
      </c>
      <c r="P115" s="1" t="e">
        <f t="shared" ca="1" si="19"/>
        <v>#REF!</v>
      </c>
    </row>
    <row r="116" spans="1:16">
      <c r="A116" s="7"/>
      <c r="B116" s="7"/>
      <c r="C116" s="2" t="s">
        <v>4232</v>
      </c>
      <c r="D116" s="7">
        <f t="shared" ca="1" si="10"/>
        <v>1</v>
      </c>
      <c r="E116" s="7" t="e">
        <f t="shared" ca="1" si="11"/>
        <v>#REF!</v>
      </c>
      <c r="F116" s="7" t="e">
        <f t="shared" ca="1" si="12"/>
        <v>#REF!</v>
      </c>
      <c r="G116" s="7" t="e">
        <f t="shared" ca="1" si="13"/>
        <v>#REF!</v>
      </c>
      <c r="H116" s="7"/>
      <c r="I116" s="7"/>
      <c r="J116" s="1" t="s">
        <v>1356</v>
      </c>
      <c r="K116" s="6" t="e">
        <f t="shared" ca="1" si="15"/>
        <v>#REF!</v>
      </c>
      <c r="L116" s="6" t="e">
        <f t="shared" ca="1" si="14"/>
        <v>#REF!</v>
      </c>
      <c r="M116" s="1" t="e">
        <f t="shared" ca="1" si="16"/>
        <v>#REF!</v>
      </c>
      <c r="N116" s="1" t="e">
        <f t="shared" ca="1" si="17"/>
        <v>#REF!</v>
      </c>
      <c r="O116" s="1" t="e">
        <f t="shared" ca="1" si="18"/>
        <v>#REF!</v>
      </c>
      <c r="P116" s="1" t="e">
        <f t="shared" ca="1" si="19"/>
        <v>#REF!</v>
      </c>
    </row>
    <row r="117" spans="1:16">
      <c r="A117" s="7"/>
      <c r="B117" s="7"/>
      <c r="C117" s="2" t="s">
        <v>973</v>
      </c>
      <c r="D117" s="7">
        <f t="shared" ca="1" si="10"/>
        <v>1</v>
      </c>
      <c r="E117" s="7" t="e">
        <f t="shared" ca="1" si="11"/>
        <v>#REF!</v>
      </c>
      <c r="F117" s="7" t="e">
        <f t="shared" ca="1" si="12"/>
        <v>#REF!</v>
      </c>
      <c r="G117" s="7" t="e">
        <f t="shared" ca="1" si="13"/>
        <v>#REF!</v>
      </c>
      <c r="H117" s="7"/>
      <c r="I117" s="7"/>
      <c r="J117" s="1" t="s">
        <v>1356</v>
      </c>
      <c r="K117" s="6" t="e">
        <f t="shared" ca="1" si="15"/>
        <v>#REF!</v>
      </c>
      <c r="L117" s="6" t="e">
        <f t="shared" ca="1" si="14"/>
        <v>#REF!</v>
      </c>
      <c r="M117" s="1" t="e">
        <f t="shared" ca="1" si="16"/>
        <v>#REF!</v>
      </c>
      <c r="N117" s="1" t="e">
        <f t="shared" ca="1" si="17"/>
        <v>#REF!</v>
      </c>
      <c r="O117" s="1" t="e">
        <f t="shared" ca="1" si="18"/>
        <v>#REF!</v>
      </c>
      <c r="P117" s="1" t="e">
        <f t="shared" ca="1" si="19"/>
        <v>#REF!</v>
      </c>
    </row>
    <row r="118" spans="1:16">
      <c r="A118" s="7"/>
      <c r="B118" s="7"/>
      <c r="C118" s="2" t="s">
        <v>482</v>
      </c>
      <c r="D118" s="7">
        <f t="shared" ca="1" si="10"/>
        <v>1</v>
      </c>
      <c r="E118" s="7" t="e">
        <f t="shared" ca="1" si="11"/>
        <v>#REF!</v>
      </c>
      <c r="F118" s="7" t="e">
        <f t="shared" ca="1" si="12"/>
        <v>#REF!</v>
      </c>
      <c r="G118" s="7" t="e">
        <f t="shared" ca="1" si="13"/>
        <v>#REF!</v>
      </c>
      <c r="H118" s="7"/>
      <c r="I118" s="7"/>
      <c r="J118" s="1" t="s">
        <v>1356</v>
      </c>
      <c r="K118" s="6" t="e">
        <f t="shared" ca="1" si="15"/>
        <v>#REF!</v>
      </c>
      <c r="L118" s="6" t="e">
        <f t="shared" ca="1" si="14"/>
        <v>#REF!</v>
      </c>
      <c r="M118" s="1" t="e">
        <f t="shared" ca="1" si="16"/>
        <v>#REF!</v>
      </c>
      <c r="N118" s="1" t="e">
        <f t="shared" ca="1" si="17"/>
        <v>#REF!</v>
      </c>
      <c r="O118" s="1" t="e">
        <f t="shared" ca="1" si="18"/>
        <v>#REF!</v>
      </c>
      <c r="P118" s="1" t="e">
        <f t="shared" ca="1" si="19"/>
        <v>#REF!</v>
      </c>
    </row>
    <row r="119" spans="1:16">
      <c r="A119" s="7"/>
      <c r="B119" s="7"/>
      <c r="C119" s="2" t="s">
        <v>4233</v>
      </c>
      <c r="D119" s="7">
        <f t="shared" ca="1" si="10"/>
        <v>1</v>
      </c>
      <c r="E119" s="7" t="e">
        <f t="shared" ca="1" si="11"/>
        <v>#REF!</v>
      </c>
      <c r="F119" s="7" t="e">
        <f t="shared" ca="1" si="12"/>
        <v>#REF!</v>
      </c>
      <c r="G119" s="7" t="e">
        <f t="shared" ca="1" si="13"/>
        <v>#REF!</v>
      </c>
      <c r="H119" s="7"/>
      <c r="I119" s="7"/>
      <c r="J119" s="1" t="s">
        <v>1356</v>
      </c>
      <c r="K119" s="6" t="e">
        <f t="shared" ca="1" si="15"/>
        <v>#REF!</v>
      </c>
      <c r="L119" s="6" t="e">
        <f t="shared" ca="1" si="14"/>
        <v>#REF!</v>
      </c>
      <c r="M119" s="1" t="e">
        <f t="shared" ca="1" si="16"/>
        <v>#REF!</v>
      </c>
      <c r="N119" s="1" t="e">
        <f t="shared" ca="1" si="17"/>
        <v>#REF!</v>
      </c>
      <c r="O119" s="1" t="e">
        <f t="shared" ca="1" si="18"/>
        <v>#REF!</v>
      </c>
      <c r="P119" s="1" t="e">
        <f t="shared" ca="1" si="19"/>
        <v>#REF!</v>
      </c>
    </row>
    <row r="120" spans="1:16">
      <c r="A120" s="7"/>
      <c r="B120" s="7"/>
      <c r="C120" s="2" t="s">
        <v>4234</v>
      </c>
      <c r="D120" s="7">
        <f t="shared" ca="1" si="10"/>
        <v>1</v>
      </c>
      <c r="E120" s="7" t="e">
        <f t="shared" ca="1" si="11"/>
        <v>#REF!</v>
      </c>
      <c r="F120" s="7" t="e">
        <f t="shared" ca="1" si="12"/>
        <v>#REF!</v>
      </c>
      <c r="G120" s="7" t="e">
        <f t="shared" ca="1" si="13"/>
        <v>#REF!</v>
      </c>
      <c r="H120" s="7"/>
      <c r="I120" s="7"/>
      <c r="J120" s="1" t="s">
        <v>1356</v>
      </c>
      <c r="K120" s="6" t="e">
        <f t="shared" ca="1" si="15"/>
        <v>#REF!</v>
      </c>
      <c r="L120" s="6" t="e">
        <f t="shared" ca="1" si="14"/>
        <v>#REF!</v>
      </c>
      <c r="M120" s="1" t="e">
        <f t="shared" ca="1" si="16"/>
        <v>#REF!</v>
      </c>
      <c r="N120" s="1" t="e">
        <f t="shared" ca="1" si="17"/>
        <v>#REF!</v>
      </c>
      <c r="O120" s="1" t="e">
        <f t="shared" ca="1" si="18"/>
        <v>#REF!</v>
      </c>
      <c r="P120" s="1" t="e">
        <f t="shared" ca="1" si="19"/>
        <v>#REF!</v>
      </c>
    </row>
    <row r="121" spans="1:16">
      <c r="A121" s="7"/>
      <c r="B121" s="7"/>
      <c r="C121" s="2" t="s">
        <v>974</v>
      </c>
      <c r="D121" s="7">
        <f t="shared" ca="1" si="10"/>
        <v>1</v>
      </c>
      <c r="E121" s="7" t="e">
        <f t="shared" ca="1" si="11"/>
        <v>#REF!</v>
      </c>
      <c r="F121" s="7" t="e">
        <f t="shared" ca="1" si="12"/>
        <v>#REF!</v>
      </c>
      <c r="G121" s="7" t="e">
        <f t="shared" ca="1" si="13"/>
        <v>#REF!</v>
      </c>
      <c r="H121" s="7"/>
      <c r="I121" s="7"/>
      <c r="J121" s="1" t="s">
        <v>1356</v>
      </c>
      <c r="K121" s="6" t="e">
        <f t="shared" ca="1" si="15"/>
        <v>#REF!</v>
      </c>
      <c r="L121" s="6" t="e">
        <f t="shared" ca="1" si="14"/>
        <v>#REF!</v>
      </c>
      <c r="M121" s="1" t="e">
        <f t="shared" ca="1" si="16"/>
        <v>#REF!</v>
      </c>
      <c r="N121" s="1" t="e">
        <f t="shared" ca="1" si="17"/>
        <v>#REF!</v>
      </c>
      <c r="O121" s="1" t="e">
        <f t="shared" ca="1" si="18"/>
        <v>#REF!</v>
      </c>
      <c r="P121" s="1" t="e">
        <f t="shared" ca="1" si="19"/>
        <v>#REF!</v>
      </c>
    </row>
    <row r="122" spans="1:16">
      <c r="A122" s="7"/>
      <c r="B122" s="7"/>
      <c r="C122" s="2" t="s">
        <v>4235</v>
      </c>
      <c r="D122" s="7">
        <f t="shared" ca="1" si="10"/>
        <v>1</v>
      </c>
      <c r="E122" s="7" t="e">
        <f t="shared" ca="1" si="11"/>
        <v>#REF!</v>
      </c>
      <c r="F122" s="7" t="e">
        <f t="shared" ca="1" si="12"/>
        <v>#REF!</v>
      </c>
      <c r="G122" s="7" t="e">
        <f t="shared" ca="1" si="13"/>
        <v>#REF!</v>
      </c>
      <c r="H122" s="7"/>
      <c r="I122" s="7"/>
      <c r="J122" s="1" t="s">
        <v>1356</v>
      </c>
      <c r="K122" s="6" t="e">
        <f t="shared" ca="1" si="15"/>
        <v>#REF!</v>
      </c>
      <c r="L122" s="6" t="e">
        <f t="shared" ca="1" si="14"/>
        <v>#REF!</v>
      </c>
      <c r="M122" s="1" t="e">
        <f t="shared" ca="1" si="16"/>
        <v>#REF!</v>
      </c>
      <c r="N122" s="1" t="e">
        <f t="shared" ca="1" si="17"/>
        <v>#REF!</v>
      </c>
      <c r="O122" s="1" t="e">
        <f t="shared" ca="1" si="18"/>
        <v>#REF!</v>
      </c>
      <c r="P122" s="1" t="e">
        <f t="shared" ca="1" si="19"/>
        <v>#REF!</v>
      </c>
    </row>
    <row r="123" spans="1:16">
      <c r="A123" s="7"/>
      <c r="B123" s="7"/>
      <c r="C123" s="2" t="s">
        <v>4236</v>
      </c>
      <c r="D123" s="7">
        <f t="shared" ca="1" si="10"/>
        <v>1</v>
      </c>
      <c r="E123" s="7" t="e">
        <f t="shared" ca="1" si="11"/>
        <v>#REF!</v>
      </c>
      <c r="F123" s="7" t="e">
        <f t="shared" ca="1" si="12"/>
        <v>#REF!</v>
      </c>
      <c r="G123" s="7" t="e">
        <f t="shared" ca="1" si="13"/>
        <v>#REF!</v>
      </c>
      <c r="H123" s="7"/>
      <c r="I123" s="7"/>
      <c r="J123" s="1" t="s">
        <v>1356</v>
      </c>
      <c r="K123" s="6" t="e">
        <f t="shared" ca="1" si="15"/>
        <v>#REF!</v>
      </c>
      <c r="L123" s="6" t="e">
        <f t="shared" ca="1" si="14"/>
        <v>#REF!</v>
      </c>
      <c r="M123" s="1" t="e">
        <f t="shared" ca="1" si="16"/>
        <v>#REF!</v>
      </c>
      <c r="N123" s="1" t="e">
        <f t="shared" ca="1" si="17"/>
        <v>#REF!</v>
      </c>
      <c r="O123" s="1" t="e">
        <f t="shared" ca="1" si="18"/>
        <v>#REF!</v>
      </c>
      <c r="P123" s="1" t="e">
        <f t="shared" ca="1" si="19"/>
        <v>#REF!</v>
      </c>
    </row>
    <row r="124" spans="1:16">
      <c r="A124" s="7"/>
      <c r="B124" s="7"/>
      <c r="C124" s="2" t="s">
        <v>189</v>
      </c>
      <c r="D124" s="7">
        <f t="shared" ca="1" si="10"/>
        <v>1</v>
      </c>
      <c r="E124" s="7" t="e">
        <f t="shared" ca="1" si="11"/>
        <v>#REF!</v>
      </c>
      <c r="F124" s="7" t="e">
        <f t="shared" ca="1" si="12"/>
        <v>#REF!</v>
      </c>
      <c r="G124" s="7" t="e">
        <f t="shared" ca="1" si="13"/>
        <v>#REF!</v>
      </c>
      <c r="H124" s="7"/>
      <c r="I124" s="7"/>
      <c r="J124" s="1" t="s">
        <v>1356</v>
      </c>
      <c r="K124" s="6" t="e">
        <f t="shared" ca="1" si="15"/>
        <v>#REF!</v>
      </c>
      <c r="L124" s="6" t="e">
        <f t="shared" ca="1" si="14"/>
        <v>#REF!</v>
      </c>
      <c r="M124" s="1" t="e">
        <f t="shared" ca="1" si="16"/>
        <v>#REF!</v>
      </c>
      <c r="N124" s="1" t="e">
        <f t="shared" ca="1" si="17"/>
        <v>#REF!</v>
      </c>
      <c r="O124" s="1" t="e">
        <f t="shared" ca="1" si="18"/>
        <v>#REF!</v>
      </c>
      <c r="P124" s="1" t="e">
        <f t="shared" ca="1" si="19"/>
        <v>#REF!</v>
      </c>
    </row>
    <row r="125" spans="1:16">
      <c r="A125" s="7"/>
      <c r="B125" s="7"/>
      <c r="C125" s="2" t="s">
        <v>975</v>
      </c>
      <c r="D125" s="7">
        <f t="shared" ca="1" si="10"/>
        <v>1</v>
      </c>
      <c r="E125" s="7" t="e">
        <f t="shared" ca="1" si="11"/>
        <v>#REF!</v>
      </c>
      <c r="F125" s="7" t="e">
        <f t="shared" ca="1" si="12"/>
        <v>#REF!</v>
      </c>
      <c r="G125" s="7" t="e">
        <f t="shared" ca="1" si="13"/>
        <v>#REF!</v>
      </c>
      <c r="H125" s="7"/>
      <c r="I125" s="7"/>
      <c r="J125" s="1" t="s">
        <v>1356</v>
      </c>
      <c r="K125" s="6" t="e">
        <f t="shared" ca="1" si="15"/>
        <v>#REF!</v>
      </c>
      <c r="L125" s="6" t="e">
        <f t="shared" ca="1" si="14"/>
        <v>#REF!</v>
      </c>
      <c r="M125" s="1" t="e">
        <f t="shared" ca="1" si="16"/>
        <v>#REF!</v>
      </c>
      <c r="N125" s="1" t="e">
        <f t="shared" ca="1" si="17"/>
        <v>#REF!</v>
      </c>
      <c r="O125" s="1" t="e">
        <f t="shared" ca="1" si="18"/>
        <v>#REF!</v>
      </c>
      <c r="P125" s="1" t="e">
        <f t="shared" ca="1" si="19"/>
        <v>#REF!</v>
      </c>
    </row>
    <row r="126" spans="1:16">
      <c r="A126" s="7"/>
      <c r="B126" s="7"/>
      <c r="C126" s="2" t="s">
        <v>4237</v>
      </c>
      <c r="D126" s="7">
        <f t="shared" ca="1" si="10"/>
        <v>1</v>
      </c>
      <c r="E126" s="7" t="e">
        <f t="shared" ca="1" si="11"/>
        <v>#REF!</v>
      </c>
      <c r="F126" s="7" t="e">
        <f t="shared" ca="1" si="12"/>
        <v>#REF!</v>
      </c>
      <c r="G126" s="7" t="e">
        <f t="shared" ca="1" si="13"/>
        <v>#REF!</v>
      </c>
      <c r="H126" s="7"/>
      <c r="I126" s="7"/>
      <c r="J126" s="1" t="s">
        <v>1356</v>
      </c>
      <c r="K126" s="6" t="e">
        <f t="shared" ca="1" si="15"/>
        <v>#REF!</v>
      </c>
      <c r="L126" s="6" t="e">
        <f t="shared" ca="1" si="14"/>
        <v>#REF!</v>
      </c>
      <c r="M126" s="1" t="e">
        <f t="shared" ca="1" si="16"/>
        <v>#REF!</v>
      </c>
      <c r="N126" s="1" t="e">
        <f t="shared" ca="1" si="17"/>
        <v>#REF!</v>
      </c>
      <c r="O126" s="1" t="e">
        <f t="shared" ca="1" si="18"/>
        <v>#REF!</v>
      </c>
      <c r="P126" s="1" t="e">
        <f t="shared" ca="1" si="19"/>
        <v>#REF!</v>
      </c>
    </row>
    <row r="127" spans="1:16">
      <c r="A127" s="7"/>
      <c r="B127" s="7"/>
      <c r="C127" s="2" t="s">
        <v>866</v>
      </c>
      <c r="D127" s="7">
        <f t="shared" ca="1" si="10"/>
        <v>1</v>
      </c>
      <c r="E127" s="7" t="e">
        <f t="shared" ca="1" si="11"/>
        <v>#REF!</v>
      </c>
      <c r="F127" s="7" t="e">
        <f t="shared" ca="1" si="12"/>
        <v>#REF!</v>
      </c>
      <c r="G127" s="7" t="e">
        <f t="shared" ca="1" si="13"/>
        <v>#REF!</v>
      </c>
      <c r="H127" s="7"/>
      <c r="I127" s="7"/>
      <c r="J127" s="1" t="s">
        <v>1356</v>
      </c>
      <c r="K127" s="6" t="e">
        <f t="shared" ca="1" si="15"/>
        <v>#REF!</v>
      </c>
      <c r="L127" s="6" t="e">
        <f t="shared" ca="1" si="14"/>
        <v>#REF!</v>
      </c>
      <c r="M127" s="1" t="e">
        <f t="shared" ca="1" si="16"/>
        <v>#REF!</v>
      </c>
      <c r="N127" s="1" t="e">
        <f t="shared" ca="1" si="17"/>
        <v>#REF!</v>
      </c>
      <c r="O127" s="1" t="e">
        <f t="shared" ca="1" si="18"/>
        <v>#REF!</v>
      </c>
      <c r="P127" s="1" t="e">
        <f t="shared" ca="1" si="19"/>
        <v>#REF!</v>
      </c>
    </row>
    <row r="128" spans="1:16">
      <c r="A128" s="7"/>
      <c r="B128" s="7"/>
      <c r="C128" s="2" t="s">
        <v>4238</v>
      </c>
      <c r="D128" s="7">
        <f t="shared" ca="1" si="10"/>
        <v>1</v>
      </c>
      <c r="E128" s="7" t="e">
        <f t="shared" ca="1" si="11"/>
        <v>#REF!</v>
      </c>
      <c r="F128" s="7" t="e">
        <f t="shared" ca="1" si="12"/>
        <v>#REF!</v>
      </c>
      <c r="G128" s="7" t="e">
        <f t="shared" ca="1" si="13"/>
        <v>#REF!</v>
      </c>
      <c r="H128" s="7"/>
      <c r="I128" s="7"/>
      <c r="J128" s="1" t="s">
        <v>1356</v>
      </c>
      <c r="K128" s="6" t="e">
        <f t="shared" ca="1" si="15"/>
        <v>#REF!</v>
      </c>
      <c r="L128" s="6" t="e">
        <f t="shared" ca="1" si="14"/>
        <v>#REF!</v>
      </c>
      <c r="M128" s="1" t="e">
        <f t="shared" ca="1" si="16"/>
        <v>#REF!</v>
      </c>
      <c r="N128" s="1" t="e">
        <f t="shared" ca="1" si="17"/>
        <v>#REF!</v>
      </c>
      <c r="O128" s="1" t="e">
        <f t="shared" ca="1" si="18"/>
        <v>#REF!</v>
      </c>
      <c r="P128" s="1" t="e">
        <f t="shared" ca="1" si="19"/>
        <v>#REF!</v>
      </c>
    </row>
    <row r="129" spans="1:16">
      <c r="A129" s="7"/>
      <c r="B129" s="7"/>
      <c r="C129" s="2" t="s">
        <v>976</v>
      </c>
      <c r="D129" s="7">
        <f t="shared" ca="1" si="10"/>
        <v>1</v>
      </c>
      <c r="E129" s="7" t="e">
        <f t="shared" ca="1" si="11"/>
        <v>#REF!</v>
      </c>
      <c r="F129" s="7" t="e">
        <f t="shared" ca="1" si="12"/>
        <v>#REF!</v>
      </c>
      <c r="G129" s="7" t="e">
        <f t="shared" ca="1" si="13"/>
        <v>#REF!</v>
      </c>
      <c r="H129" s="7"/>
      <c r="I129" s="7"/>
      <c r="J129" s="1" t="s">
        <v>1356</v>
      </c>
      <c r="K129" s="6" t="e">
        <f t="shared" ca="1" si="15"/>
        <v>#REF!</v>
      </c>
      <c r="L129" s="6" t="e">
        <f t="shared" ca="1" si="14"/>
        <v>#REF!</v>
      </c>
      <c r="M129" s="1" t="e">
        <f t="shared" ca="1" si="16"/>
        <v>#REF!</v>
      </c>
      <c r="N129" s="1" t="e">
        <f t="shared" ca="1" si="17"/>
        <v>#REF!</v>
      </c>
      <c r="O129" s="1" t="e">
        <f t="shared" ca="1" si="18"/>
        <v>#REF!</v>
      </c>
      <c r="P129" s="1" t="e">
        <f t="shared" ca="1" si="19"/>
        <v>#REF!</v>
      </c>
    </row>
    <row r="130" spans="1:16">
      <c r="A130" s="7"/>
      <c r="B130" s="7"/>
      <c r="C130" s="2" t="s">
        <v>118</v>
      </c>
      <c r="D130" s="7">
        <f t="shared" ca="1" si="10"/>
        <v>1</v>
      </c>
      <c r="E130" s="7" t="e">
        <f t="shared" ca="1" si="11"/>
        <v>#REF!</v>
      </c>
      <c r="F130" s="7" t="e">
        <f t="shared" ca="1" si="12"/>
        <v>#REF!</v>
      </c>
      <c r="G130" s="7" t="e">
        <f t="shared" ca="1" si="13"/>
        <v>#REF!</v>
      </c>
      <c r="H130" s="7"/>
      <c r="I130" s="7"/>
      <c r="J130" s="1" t="s">
        <v>1356</v>
      </c>
      <c r="K130" s="6" t="e">
        <f t="shared" ca="1" si="15"/>
        <v>#REF!</v>
      </c>
      <c r="L130" s="6" t="e">
        <f t="shared" ca="1" si="14"/>
        <v>#REF!</v>
      </c>
      <c r="M130" s="1" t="e">
        <f t="shared" ca="1" si="16"/>
        <v>#REF!</v>
      </c>
      <c r="N130" s="1" t="e">
        <f t="shared" ca="1" si="17"/>
        <v>#REF!</v>
      </c>
      <c r="O130" s="1" t="e">
        <f t="shared" ca="1" si="18"/>
        <v>#REF!</v>
      </c>
      <c r="P130" s="1" t="e">
        <f t="shared" ca="1" si="19"/>
        <v>#REF!</v>
      </c>
    </row>
    <row r="131" spans="1:16">
      <c r="A131" s="7"/>
      <c r="B131" s="7"/>
      <c r="C131" s="2" t="s">
        <v>4239</v>
      </c>
      <c r="D131" s="7">
        <f t="shared" ca="1" si="10"/>
        <v>1</v>
      </c>
      <c r="E131" s="7" t="e">
        <f t="shared" ca="1" si="11"/>
        <v>#REF!</v>
      </c>
      <c r="F131" s="7" t="e">
        <f t="shared" ca="1" si="12"/>
        <v>#REF!</v>
      </c>
      <c r="G131" s="7" t="e">
        <f t="shared" ca="1" si="13"/>
        <v>#REF!</v>
      </c>
      <c r="H131" s="7"/>
      <c r="I131" s="7"/>
      <c r="J131" s="1" t="s">
        <v>1356</v>
      </c>
      <c r="K131" s="6" t="e">
        <f t="shared" ca="1" si="15"/>
        <v>#REF!</v>
      </c>
      <c r="L131" s="6" t="e">
        <f t="shared" ca="1" si="14"/>
        <v>#REF!</v>
      </c>
      <c r="M131" s="1" t="e">
        <f t="shared" ca="1" si="16"/>
        <v>#REF!</v>
      </c>
      <c r="N131" s="1" t="e">
        <f t="shared" ca="1" si="17"/>
        <v>#REF!</v>
      </c>
      <c r="O131" s="1" t="e">
        <f t="shared" ca="1" si="18"/>
        <v>#REF!</v>
      </c>
      <c r="P131" s="1" t="e">
        <f t="shared" ca="1" si="19"/>
        <v>#REF!</v>
      </c>
    </row>
    <row r="132" spans="1:16">
      <c r="A132" s="7"/>
      <c r="B132" s="7"/>
      <c r="C132" s="2" t="s">
        <v>4240</v>
      </c>
      <c r="D132" s="7">
        <f t="shared" ca="1" si="10"/>
        <v>1</v>
      </c>
      <c r="E132" s="7" t="e">
        <f t="shared" ca="1" si="11"/>
        <v>#REF!</v>
      </c>
      <c r="F132" s="7" t="e">
        <f t="shared" ca="1" si="12"/>
        <v>#REF!</v>
      </c>
      <c r="G132" s="7" t="e">
        <f t="shared" ca="1" si="13"/>
        <v>#REF!</v>
      </c>
      <c r="H132" s="7"/>
      <c r="I132" s="7"/>
      <c r="J132" s="1" t="s">
        <v>1356</v>
      </c>
      <c r="K132" s="6" t="e">
        <f t="shared" ca="1" si="15"/>
        <v>#REF!</v>
      </c>
      <c r="L132" s="6" t="e">
        <f t="shared" ca="1" si="14"/>
        <v>#REF!</v>
      </c>
      <c r="M132" s="1" t="e">
        <f t="shared" ca="1" si="16"/>
        <v>#REF!</v>
      </c>
      <c r="N132" s="1" t="e">
        <f t="shared" ca="1" si="17"/>
        <v>#REF!</v>
      </c>
      <c r="O132" s="1" t="e">
        <f t="shared" ca="1" si="18"/>
        <v>#REF!</v>
      </c>
      <c r="P132" s="1" t="e">
        <f t="shared" ca="1" si="19"/>
        <v>#REF!</v>
      </c>
    </row>
    <row r="133" spans="1:16">
      <c r="A133" s="7"/>
      <c r="B133" s="7"/>
      <c r="C133" s="2" t="s">
        <v>935</v>
      </c>
      <c r="D133" s="7">
        <f t="shared" ca="1" si="10"/>
        <v>1</v>
      </c>
      <c r="E133" s="7" t="e">
        <f t="shared" ca="1" si="11"/>
        <v>#REF!</v>
      </c>
      <c r="F133" s="7" t="e">
        <f t="shared" ca="1" si="12"/>
        <v>#REF!</v>
      </c>
      <c r="G133" s="7" t="e">
        <f t="shared" ca="1" si="13"/>
        <v>#REF!</v>
      </c>
      <c r="H133" s="7"/>
      <c r="I133" s="7"/>
      <c r="J133" s="1" t="s">
        <v>1356</v>
      </c>
      <c r="K133" s="6" t="e">
        <f t="shared" ca="1" si="15"/>
        <v>#REF!</v>
      </c>
      <c r="L133" s="6" t="e">
        <f t="shared" ca="1" si="14"/>
        <v>#REF!</v>
      </c>
      <c r="M133" s="1" t="e">
        <f t="shared" ca="1" si="16"/>
        <v>#REF!</v>
      </c>
      <c r="N133" s="1" t="e">
        <f t="shared" ca="1" si="17"/>
        <v>#REF!</v>
      </c>
      <c r="O133" s="1" t="e">
        <f t="shared" ca="1" si="18"/>
        <v>#REF!</v>
      </c>
      <c r="P133" s="1" t="e">
        <f t="shared" ca="1" si="19"/>
        <v>#REF!</v>
      </c>
    </row>
    <row r="134" spans="1:16">
      <c r="A134" s="7"/>
      <c r="B134" s="7"/>
      <c r="C134" s="2" t="s">
        <v>4241</v>
      </c>
      <c r="D134" s="7">
        <f t="shared" ca="1" si="10"/>
        <v>1</v>
      </c>
      <c r="E134" s="7" t="e">
        <f t="shared" ca="1" si="11"/>
        <v>#REF!</v>
      </c>
      <c r="F134" s="7" t="e">
        <f t="shared" ca="1" si="12"/>
        <v>#REF!</v>
      </c>
      <c r="G134" s="7" t="e">
        <f t="shared" ca="1" si="13"/>
        <v>#REF!</v>
      </c>
      <c r="H134" s="7"/>
      <c r="I134" s="7"/>
      <c r="J134" s="1" t="s">
        <v>1356</v>
      </c>
      <c r="K134" s="6" t="e">
        <f t="shared" ca="1" si="15"/>
        <v>#REF!</v>
      </c>
      <c r="L134" s="6" t="e">
        <f t="shared" ca="1" si="14"/>
        <v>#REF!</v>
      </c>
      <c r="M134" s="1" t="e">
        <f t="shared" ca="1" si="16"/>
        <v>#REF!</v>
      </c>
      <c r="N134" s="1" t="e">
        <f t="shared" ca="1" si="17"/>
        <v>#REF!</v>
      </c>
      <c r="O134" s="1" t="e">
        <f t="shared" ca="1" si="18"/>
        <v>#REF!</v>
      </c>
      <c r="P134" s="1" t="e">
        <f t="shared" ca="1" si="19"/>
        <v>#REF!</v>
      </c>
    </row>
    <row r="135" spans="1:16">
      <c r="A135" s="7"/>
      <c r="B135" s="7"/>
      <c r="C135" s="2" t="s">
        <v>4242</v>
      </c>
      <c r="D135" s="7">
        <f t="shared" ref="D135:D191" ca="1" si="20">COUNTA(INDIRECT(CONCATENATE("'",J135,"'!",K135)))</f>
        <v>1</v>
      </c>
      <c r="E135" s="7" t="e">
        <f t="shared" ref="E135:E191" ca="1" si="21">G135+F135</f>
        <v>#REF!</v>
      </c>
      <c r="F135" s="7" t="e">
        <f t="shared" ref="F135:F191" ca="1" si="22">COUNTIF(INDIRECT(CONCATENATE("'",J135,"'!",M135)),"●")+COUNTIFS(INDIRECT(CONCATENATE("'",J135,"'!",M135)),"×",INDIRECT(CONCATENATE("'",J135,"'!",N135)),"●")</f>
        <v>#REF!</v>
      </c>
      <c r="G135" s="7" t="e">
        <f t="shared" ref="G135:G191" ca="1" si="23">COUNTIF(INDIRECT(CONCATENATE("'",J135,"'!",M135)),"×")-COUNTIFS(INDIRECT(CONCATENATE("'",J135,"'!",M135)),"×",INDIRECT(CONCATENATE("'",J135,"'!",N135)),"●")</f>
        <v>#REF!</v>
      </c>
      <c r="H135" s="7"/>
      <c r="I135" s="7"/>
      <c r="J135" s="1" t="s">
        <v>1356</v>
      </c>
      <c r="K135" s="6" t="e">
        <f t="shared" ca="1" si="15"/>
        <v>#REF!</v>
      </c>
      <c r="L135" s="6" t="e">
        <f t="shared" ca="1" si="14"/>
        <v>#REF!</v>
      </c>
      <c r="M135" s="1" t="e">
        <f t="shared" ca="1" si="16"/>
        <v>#REF!</v>
      </c>
      <c r="N135" s="1" t="e">
        <f t="shared" ca="1" si="17"/>
        <v>#REF!</v>
      </c>
      <c r="O135" s="1" t="e">
        <f t="shared" ca="1" si="18"/>
        <v>#REF!</v>
      </c>
      <c r="P135" s="1" t="e">
        <f t="shared" ca="1" si="19"/>
        <v>#REF!</v>
      </c>
    </row>
    <row r="136" spans="1:16">
      <c r="A136" s="7"/>
      <c r="B136" s="7"/>
      <c r="C136" s="2" t="s">
        <v>133</v>
      </c>
      <c r="D136" s="7">
        <f t="shared" ca="1" si="20"/>
        <v>1</v>
      </c>
      <c r="E136" s="7" t="e">
        <f t="shared" ca="1" si="21"/>
        <v>#REF!</v>
      </c>
      <c r="F136" s="7" t="e">
        <f t="shared" ca="1" si="22"/>
        <v>#REF!</v>
      </c>
      <c r="G136" s="7" t="e">
        <f t="shared" ca="1" si="23"/>
        <v>#REF!</v>
      </c>
      <c r="H136" s="7"/>
      <c r="I136" s="7"/>
      <c r="J136" s="1" t="s">
        <v>1356</v>
      </c>
      <c r="K136" s="6" t="e">
        <f t="shared" ca="1" si="15"/>
        <v>#REF!</v>
      </c>
      <c r="L136" s="6" t="e">
        <f t="shared" ca="1" si="14"/>
        <v>#REF!</v>
      </c>
      <c r="M136" s="1" t="e">
        <f t="shared" ca="1" si="16"/>
        <v>#REF!</v>
      </c>
      <c r="N136" s="1" t="e">
        <f t="shared" ca="1" si="17"/>
        <v>#REF!</v>
      </c>
      <c r="O136" s="1" t="e">
        <f t="shared" ca="1" si="18"/>
        <v>#REF!</v>
      </c>
      <c r="P136" s="1" t="e">
        <f t="shared" ca="1" si="19"/>
        <v>#REF!</v>
      </c>
    </row>
    <row r="137" spans="1:16">
      <c r="A137" s="7"/>
      <c r="C137" s="2" t="s">
        <v>330</v>
      </c>
      <c r="D137" s="7">
        <f t="shared" ca="1" si="20"/>
        <v>1</v>
      </c>
      <c r="E137" s="7" t="e">
        <f t="shared" ca="1" si="21"/>
        <v>#REF!</v>
      </c>
      <c r="F137" s="7" t="e">
        <f t="shared" ca="1" si="22"/>
        <v>#REF!</v>
      </c>
      <c r="G137" s="7" t="e">
        <f t="shared" ca="1" si="23"/>
        <v>#REF!</v>
      </c>
      <c r="H137" s="7"/>
      <c r="I137" s="7"/>
      <c r="J137" s="1" t="s">
        <v>1356</v>
      </c>
      <c r="K137" s="6" t="e">
        <f t="shared" ca="1" si="15"/>
        <v>#REF!</v>
      </c>
      <c r="L137" s="6" t="e">
        <f t="shared" ca="1" si="14"/>
        <v>#REF!</v>
      </c>
      <c r="M137" s="1" t="e">
        <f t="shared" ca="1" si="16"/>
        <v>#REF!</v>
      </c>
      <c r="N137" s="1" t="e">
        <f t="shared" ca="1" si="17"/>
        <v>#REF!</v>
      </c>
      <c r="O137" s="1" t="e">
        <f t="shared" ca="1" si="18"/>
        <v>#REF!</v>
      </c>
      <c r="P137" s="1" t="e">
        <f t="shared" ca="1" si="19"/>
        <v>#REF!</v>
      </c>
    </row>
    <row r="138" spans="1:16">
      <c r="A138" s="7"/>
      <c r="C138" s="2" t="s">
        <v>333</v>
      </c>
      <c r="D138" s="7">
        <f t="shared" ca="1" si="20"/>
        <v>1</v>
      </c>
      <c r="E138" s="7" t="e">
        <f t="shared" ca="1" si="21"/>
        <v>#REF!</v>
      </c>
      <c r="F138" s="7" t="e">
        <f t="shared" ca="1" si="22"/>
        <v>#REF!</v>
      </c>
      <c r="G138" s="7" t="e">
        <f t="shared" ca="1" si="23"/>
        <v>#REF!</v>
      </c>
      <c r="H138" s="7"/>
      <c r="I138" s="7"/>
      <c r="J138" s="1" t="s">
        <v>1356</v>
      </c>
      <c r="K138" s="6" t="e">
        <f t="shared" ca="1" si="15"/>
        <v>#REF!</v>
      </c>
      <c r="L138" s="6" t="e">
        <f t="shared" ref="L138:L208" ca="1" si="24">CONCATENATE("$",IF(K138=$J$3,$L$3,$L$4),"$",O138,":","$",IF(K138=$J$3,$L$3,$L$4),"$",P138)</f>
        <v>#REF!</v>
      </c>
      <c r="M138" s="1" t="e">
        <f t="shared" ca="1" si="16"/>
        <v>#REF!</v>
      </c>
      <c r="N138" s="1" t="e">
        <f t="shared" ca="1" si="17"/>
        <v>#REF!</v>
      </c>
      <c r="O138" s="1" t="e">
        <f t="shared" ca="1" si="18"/>
        <v>#REF!</v>
      </c>
      <c r="P138" s="1" t="e">
        <f t="shared" ca="1" si="19"/>
        <v>#REF!</v>
      </c>
    </row>
    <row r="139" spans="1:16">
      <c r="A139" s="7"/>
      <c r="C139" s="2" t="s">
        <v>22</v>
      </c>
      <c r="D139" s="7">
        <f t="shared" ca="1" si="20"/>
        <v>1</v>
      </c>
      <c r="E139" s="7" t="e">
        <f t="shared" ca="1" si="21"/>
        <v>#REF!</v>
      </c>
      <c r="F139" s="7" t="e">
        <f t="shared" ca="1" si="22"/>
        <v>#REF!</v>
      </c>
      <c r="G139" s="7" t="e">
        <f t="shared" ca="1" si="23"/>
        <v>#REF!</v>
      </c>
      <c r="H139" s="7"/>
      <c r="I139" s="7"/>
      <c r="J139" s="1" t="s">
        <v>1356</v>
      </c>
      <c r="K139" s="6" t="e">
        <f t="shared" ref="K139:K209" ca="1" si="25">CONCATENATE("$",IF(J139=$J$3,$K$3,$K$4),"$",O139,":","$",IF(J139=$J$3,$K$3,$K$4),"$",P139)</f>
        <v>#REF!</v>
      </c>
      <c r="L139" s="6" t="e">
        <f t="shared" ca="1" si="24"/>
        <v>#REF!</v>
      </c>
      <c r="M139" s="1" t="e">
        <f t="shared" ref="M139:M209" ca="1" si="26">CONCATENATE("$",IF(J139=$J$3,$M$3,$M$4),"$",O139,":","$",IF(J139=$J$3,$M$3,$M$4),"$",P139)</f>
        <v>#REF!</v>
      </c>
      <c r="N139" s="1" t="e">
        <f t="shared" ref="N139:N209" ca="1" si="27">CONCATENATE("$",IF(J139=$J$3,$N$3,$N$4),"$",O139,":","$",IF(J139=$J$3,$N$3,$N$4),"$",P139)</f>
        <v>#REF!</v>
      </c>
      <c r="O139" s="1" t="e">
        <f t="shared" ref="O139:O209" ca="1" si="28">MATCH($C139,INDIRECT(CONCATENATE("'",J139,"'!$D:$D")),0)</f>
        <v>#REF!</v>
      </c>
      <c r="P139" s="1" t="e">
        <f t="shared" ref="P139:P209" ca="1" si="29">MATCH("*",INDIRECT(CONCATENATE("'",$J139,"'!","D",$O139+1,":","D65535"),TRUE),0)+O139-1</f>
        <v>#REF!</v>
      </c>
    </row>
    <row r="140" spans="1:16">
      <c r="A140" s="7"/>
      <c r="C140" s="2" t="s">
        <v>630</v>
      </c>
      <c r="D140" s="7">
        <f t="shared" ca="1" si="20"/>
        <v>1</v>
      </c>
      <c r="E140" s="7" t="e">
        <f t="shared" ca="1" si="21"/>
        <v>#REF!</v>
      </c>
      <c r="F140" s="7" t="e">
        <f t="shared" ca="1" si="22"/>
        <v>#REF!</v>
      </c>
      <c r="G140" s="7" t="e">
        <f t="shared" ca="1" si="23"/>
        <v>#REF!</v>
      </c>
      <c r="H140" s="7"/>
      <c r="I140" s="7"/>
      <c r="J140" s="1" t="s">
        <v>1356</v>
      </c>
      <c r="K140" s="6" t="e">
        <f t="shared" ca="1" si="25"/>
        <v>#REF!</v>
      </c>
      <c r="L140" s="6" t="e">
        <f t="shared" ca="1" si="24"/>
        <v>#REF!</v>
      </c>
      <c r="M140" s="1" t="e">
        <f t="shared" ca="1" si="26"/>
        <v>#REF!</v>
      </c>
      <c r="N140" s="1" t="e">
        <f t="shared" ca="1" si="27"/>
        <v>#REF!</v>
      </c>
      <c r="O140" s="1" t="e">
        <f t="shared" ca="1" si="28"/>
        <v>#REF!</v>
      </c>
      <c r="P140" s="1" t="e">
        <f t="shared" ca="1" si="29"/>
        <v>#REF!</v>
      </c>
    </row>
    <row r="141" spans="1:16">
      <c r="A141" s="7"/>
      <c r="C141" s="2" t="s">
        <v>639</v>
      </c>
      <c r="D141" s="7">
        <f t="shared" ca="1" si="20"/>
        <v>1</v>
      </c>
      <c r="E141" s="7" t="e">
        <f t="shared" ca="1" si="21"/>
        <v>#REF!</v>
      </c>
      <c r="F141" s="7" t="e">
        <f t="shared" ca="1" si="22"/>
        <v>#REF!</v>
      </c>
      <c r="G141" s="7" t="e">
        <f t="shared" ca="1" si="23"/>
        <v>#REF!</v>
      </c>
      <c r="H141" s="7"/>
      <c r="I141" s="7"/>
      <c r="J141" s="1" t="s">
        <v>1356</v>
      </c>
      <c r="K141" s="6" t="e">
        <f t="shared" ca="1" si="25"/>
        <v>#REF!</v>
      </c>
      <c r="L141" s="6" t="e">
        <f t="shared" ca="1" si="24"/>
        <v>#REF!</v>
      </c>
      <c r="M141" s="1" t="e">
        <f t="shared" ca="1" si="26"/>
        <v>#REF!</v>
      </c>
      <c r="N141" s="1" t="e">
        <f t="shared" ca="1" si="27"/>
        <v>#REF!</v>
      </c>
      <c r="O141" s="1" t="e">
        <f t="shared" ca="1" si="28"/>
        <v>#REF!</v>
      </c>
      <c r="P141" s="1" t="e">
        <f t="shared" ca="1" si="29"/>
        <v>#REF!</v>
      </c>
    </row>
    <row r="142" spans="1:16">
      <c r="A142" s="7"/>
      <c r="C142" s="2" t="s">
        <v>650</v>
      </c>
      <c r="D142" s="7">
        <f t="shared" ca="1" si="20"/>
        <v>1</v>
      </c>
      <c r="E142" s="7" t="e">
        <f t="shared" ca="1" si="21"/>
        <v>#REF!</v>
      </c>
      <c r="F142" s="7" t="e">
        <f t="shared" ca="1" si="22"/>
        <v>#REF!</v>
      </c>
      <c r="G142" s="7" t="e">
        <f t="shared" ca="1" si="23"/>
        <v>#REF!</v>
      </c>
      <c r="H142" s="7"/>
      <c r="I142" s="7"/>
      <c r="J142" s="1" t="s">
        <v>1356</v>
      </c>
      <c r="K142" s="6" t="e">
        <f t="shared" ca="1" si="25"/>
        <v>#REF!</v>
      </c>
      <c r="L142" s="6" t="e">
        <f t="shared" ca="1" si="24"/>
        <v>#REF!</v>
      </c>
      <c r="M142" s="1" t="e">
        <f t="shared" ca="1" si="26"/>
        <v>#REF!</v>
      </c>
      <c r="N142" s="1" t="e">
        <f t="shared" ca="1" si="27"/>
        <v>#REF!</v>
      </c>
      <c r="O142" s="1" t="e">
        <f t="shared" ca="1" si="28"/>
        <v>#REF!</v>
      </c>
      <c r="P142" s="1" t="e">
        <f t="shared" ca="1" si="29"/>
        <v>#REF!</v>
      </c>
    </row>
    <row r="143" spans="1:16">
      <c r="A143" s="7"/>
      <c r="B143" s="7"/>
      <c r="C143" s="2" t="s">
        <v>4243</v>
      </c>
      <c r="D143" s="7">
        <f t="shared" ca="1" si="20"/>
        <v>1</v>
      </c>
      <c r="E143" s="7" t="e">
        <f t="shared" ca="1" si="21"/>
        <v>#REF!</v>
      </c>
      <c r="F143" s="7" t="e">
        <f t="shared" ca="1" si="22"/>
        <v>#REF!</v>
      </c>
      <c r="G143" s="7" t="e">
        <f t="shared" ca="1" si="23"/>
        <v>#REF!</v>
      </c>
      <c r="H143" s="7"/>
      <c r="I143" s="7"/>
      <c r="J143" s="1" t="s">
        <v>1356</v>
      </c>
      <c r="K143" s="6" t="e">
        <f t="shared" ca="1" si="25"/>
        <v>#REF!</v>
      </c>
      <c r="L143" s="6" t="e">
        <f t="shared" ca="1" si="24"/>
        <v>#REF!</v>
      </c>
      <c r="M143" s="1" t="e">
        <f t="shared" ca="1" si="26"/>
        <v>#REF!</v>
      </c>
      <c r="N143" s="1" t="e">
        <f t="shared" ca="1" si="27"/>
        <v>#REF!</v>
      </c>
      <c r="O143" s="1" t="e">
        <f t="shared" ca="1" si="28"/>
        <v>#REF!</v>
      </c>
      <c r="P143" s="1" t="e">
        <f t="shared" ca="1" si="29"/>
        <v>#REF!</v>
      </c>
    </row>
    <row r="144" spans="1:16">
      <c r="A144" s="7"/>
      <c r="B144" s="7"/>
      <c r="C144" s="2" t="s">
        <v>394</v>
      </c>
      <c r="D144" s="7">
        <f t="shared" ca="1" si="20"/>
        <v>1</v>
      </c>
      <c r="E144" s="7" t="e">
        <f t="shared" ca="1" si="21"/>
        <v>#REF!</v>
      </c>
      <c r="F144" s="7" t="e">
        <f t="shared" ca="1" si="22"/>
        <v>#REF!</v>
      </c>
      <c r="G144" s="7" t="e">
        <f t="shared" ca="1" si="23"/>
        <v>#REF!</v>
      </c>
      <c r="H144" s="7"/>
      <c r="I144" s="7"/>
      <c r="J144" s="1" t="s">
        <v>1356</v>
      </c>
      <c r="K144" s="6" t="e">
        <f t="shared" ca="1" si="25"/>
        <v>#REF!</v>
      </c>
      <c r="L144" s="6" t="e">
        <f t="shared" ca="1" si="24"/>
        <v>#REF!</v>
      </c>
      <c r="M144" s="1" t="e">
        <f t="shared" ca="1" si="26"/>
        <v>#REF!</v>
      </c>
      <c r="N144" s="1" t="e">
        <f t="shared" ca="1" si="27"/>
        <v>#REF!</v>
      </c>
      <c r="O144" s="1" t="e">
        <f t="shared" ca="1" si="28"/>
        <v>#REF!</v>
      </c>
      <c r="P144" s="1" t="e">
        <f t="shared" ca="1" si="29"/>
        <v>#REF!</v>
      </c>
    </row>
    <row r="145" spans="1:16">
      <c r="A145" s="7"/>
      <c r="B145" s="7"/>
      <c r="C145" s="2" t="s">
        <v>350</v>
      </c>
      <c r="D145" s="7">
        <f t="shared" ca="1" si="20"/>
        <v>1</v>
      </c>
      <c r="E145" s="7" t="e">
        <f t="shared" ca="1" si="21"/>
        <v>#REF!</v>
      </c>
      <c r="F145" s="7" t="e">
        <f t="shared" ca="1" si="22"/>
        <v>#REF!</v>
      </c>
      <c r="G145" s="7" t="e">
        <f t="shared" ca="1" si="23"/>
        <v>#REF!</v>
      </c>
      <c r="H145" s="7"/>
      <c r="I145" s="7"/>
      <c r="J145" s="1" t="s">
        <v>1356</v>
      </c>
      <c r="K145" s="6" t="e">
        <f t="shared" ca="1" si="25"/>
        <v>#REF!</v>
      </c>
      <c r="L145" s="6" t="e">
        <f t="shared" ca="1" si="24"/>
        <v>#REF!</v>
      </c>
      <c r="M145" s="1" t="e">
        <f t="shared" ca="1" si="26"/>
        <v>#REF!</v>
      </c>
      <c r="N145" s="1" t="e">
        <f t="shared" ca="1" si="27"/>
        <v>#REF!</v>
      </c>
      <c r="O145" s="1" t="e">
        <f t="shared" ca="1" si="28"/>
        <v>#REF!</v>
      </c>
      <c r="P145" s="1" t="e">
        <f t="shared" ca="1" si="29"/>
        <v>#REF!</v>
      </c>
    </row>
    <row r="146" spans="1:16">
      <c r="A146" s="7"/>
      <c r="B146" s="7"/>
      <c r="C146" s="2" t="s">
        <v>4244</v>
      </c>
      <c r="D146" s="7">
        <f t="shared" ca="1" si="20"/>
        <v>1</v>
      </c>
      <c r="E146" s="7" t="e">
        <f t="shared" ca="1" si="21"/>
        <v>#REF!</v>
      </c>
      <c r="F146" s="7" t="e">
        <f t="shared" ca="1" si="22"/>
        <v>#REF!</v>
      </c>
      <c r="G146" s="7" t="e">
        <f t="shared" ca="1" si="23"/>
        <v>#REF!</v>
      </c>
      <c r="H146" s="7"/>
      <c r="I146" s="7"/>
      <c r="J146" s="1" t="s">
        <v>1356</v>
      </c>
      <c r="K146" s="6" t="e">
        <f t="shared" ca="1" si="25"/>
        <v>#REF!</v>
      </c>
      <c r="L146" s="6" t="e">
        <f t="shared" ca="1" si="24"/>
        <v>#REF!</v>
      </c>
      <c r="M146" s="1" t="e">
        <f t="shared" ca="1" si="26"/>
        <v>#REF!</v>
      </c>
      <c r="N146" s="1" t="e">
        <f t="shared" ca="1" si="27"/>
        <v>#REF!</v>
      </c>
      <c r="O146" s="1" t="e">
        <f t="shared" ca="1" si="28"/>
        <v>#REF!</v>
      </c>
      <c r="P146" s="1" t="e">
        <f t="shared" ca="1" si="29"/>
        <v>#REF!</v>
      </c>
    </row>
    <row r="147" spans="1:16">
      <c r="A147" s="7"/>
      <c r="B147" s="7"/>
      <c r="C147" s="2" t="s">
        <v>4245</v>
      </c>
      <c r="D147" s="7">
        <f t="shared" ca="1" si="20"/>
        <v>1</v>
      </c>
      <c r="E147" s="7" t="e">
        <f t="shared" ca="1" si="21"/>
        <v>#REF!</v>
      </c>
      <c r="F147" s="7" t="e">
        <f t="shared" ca="1" si="22"/>
        <v>#REF!</v>
      </c>
      <c r="G147" s="7" t="e">
        <f t="shared" ca="1" si="23"/>
        <v>#REF!</v>
      </c>
      <c r="H147" s="7"/>
      <c r="I147" s="7"/>
      <c r="J147" s="1" t="s">
        <v>1356</v>
      </c>
      <c r="K147" s="6" t="e">
        <f t="shared" ca="1" si="25"/>
        <v>#REF!</v>
      </c>
      <c r="L147" s="6" t="e">
        <f t="shared" ca="1" si="24"/>
        <v>#REF!</v>
      </c>
      <c r="M147" s="1" t="e">
        <f t="shared" ca="1" si="26"/>
        <v>#REF!</v>
      </c>
      <c r="N147" s="1" t="e">
        <f t="shared" ca="1" si="27"/>
        <v>#REF!</v>
      </c>
      <c r="O147" s="1" t="e">
        <f t="shared" ca="1" si="28"/>
        <v>#REF!</v>
      </c>
      <c r="P147" s="1" t="e">
        <f t="shared" ca="1" si="29"/>
        <v>#REF!</v>
      </c>
    </row>
    <row r="148" spans="1:16">
      <c r="A148" s="7"/>
      <c r="B148" s="7"/>
      <c r="C148" s="2" t="s">
        <v>318</v>
      </c>
      <c r="D148" s="7">
        <f t="shared" ca="1" si="20"/>
        <v>1</v>
      </c>
      <c r="E148" s="7" t="e">
        <f t="shared" ca="1" si="21"/>
        <v>#REF!</v>
      </c>
      <c r="F148" s="7" t="e">
        <f t="shared" ca="1" si="22"/>
        <v>#REF!</v>
      </c>
      <c r="G148" s="7" t="e">
        <f t="shared" ca="1" si="23"/>
        <v>#REF!</v>
      </c>
      <c r="H148" s="7"/>
      <c r="I148" s="7"/>
      <c r="J148" s="1" t="s">
        <v>1356</v>
      </c>
      <c r="K148" s="6" t="e">
        <f t="shared" ca="1" si="25"/>
        <v>#REF!</v>
      </c>
      <c r="L148" s="6" t="e">
        <f t="shared" ca="1" si="24"/>
        <v>#REF!</v>
      </c>
      <c r="M148" s="1" t="e">
        <f t="shared" ca="1" si="26"/>
        <v>#REF!</v>
      </c>
      <c r="N148" s="1" t="e">
        <f t="shared" ca="1" si="27"/>
        <v>#REF!</v>
      </c>
      <c r="O148" s="1" t="e">
        <f t="shared" ca="1" si="28"/>
        <v>#REF!</v>
      </c>
      <c r="P148" s="1" t="e">
        <f t="shared" ca="1" si="29"/>
        <v>#REF!</v>
      </c>
    </row>
    <row r="149" spans="1:16">
      <c r="A149" s="7"/>
      <c r="B149" s="7"/>
      <c r="C149" s="2" t="s">
        <v>585</v>
      </c>
      <c r="D149" s="7">
        <f t="shared" ca="1" si="20"/>
        <v>1</v>
      </c>
      <c r="E149" s="7" t="e">
        <f t="shared" ca="1" si="21"/>
        <v>#REF!</v>
      </c>
      <c r="F149" s="7" t="e">
        <f t="shared" ca="1" si="22"/>
        <v>#REF!</v>
      </c>
      <c r="G149" s="7" t="e">
        <f t="shared" ca="1" si="23"/>
        <v>#REF!</v>
      </c>
      <c r="H149" s="7"/>
      <c r="I149" s="7"/>
      <c r="J149" s="1" t="s">
        <v>1356</v>
      </c>
      <c r="K149" s="6" t="e">
        <f t="shared" ca="1" si="25"/>
        <v>#REF!</v>
      </c>
      <c r="L149" s="6" t="e">
        <f t="shared" ca="1" si="24"/>
        <v>#REF!</v>
      </c>
      <c r="M149" s="1" t="e">
        <f t="shared" ca="1" si="26"/>
        <v>#REF!</v>
      </c>
      <c r="N149" s="1" t="e">
        <f t="shared" ca="1" si="27"/>
        <v>#REF!</v>
      </c>
      <c r="O149" s="1" t="e">
        <f t="shared" ca="1" si="28"/>
        <v>#REF!</v>
      </c>
      <c r="P149" s="1" t="e">
        <f t="shared" ca="1" si="29"/>
        <v>#REF!</v>
      </c>
    </row>
    <row r="150" spans="1:16">
      <c r="A150" s="7"/>
      <c r="B150" s="7"/>
      <c r="C150" s="2" t="s">
        <v>588</v>
      </c>
      <c r="D150" s="7">
        <f t="shared" ca="1" si="20"/>
        <v>1</v>
      </c>
      <c r="E150" s="7" t="e">
        <f t="shared" ca="1" si="21"/>
        <v>#REF!</v>
      </c>
      <c r="F150" s="7" t="e">
        <f t="shared" ca="1" si="22"/>
        <v>#REF!</v>
      </c>
      <c r="G150" s="7" t="e">
        <f t="shared" ca="1" si="23"/>
        <v>#REF!</v>
      </c>
      <c r="H150" s="7"/>
      <c r="I150" s="7"/>
      <c r="J150" s="1" t="s">
        <v>1356</v>
      </c>
      <c r="K150" s="6" t="e">
        <f t="shared" ca="1" si="25"/>
        <v>#REF!</v>
      </c>
      <c r="L150" s="6" t="e">
        <f t="shared" ca="1" si="24"/>
        <v>#REF!</v>
      </c>
      <c r="M150" s="1" t="e">
        <f t="shared" ca="1" si="26"/>
        <v>#REF!</v>
      </c>
      <c r="N150" s="1" t="e">
        <f t="shared" ca="1" si="27"/>
        <v>#REF!</v>
      </c>
      <c r="O150" s="1" t="e">
        <f t="shared" ca="1" si="28"/>
        <v>#REF!</v>
      </c>
      <c r="P150" s="1" t="e">
        <f t="shared" ca="1" si="29"/>
        <v>#REF!</v>
      </c>
    </row>
    <row r="151" spans="1:16">
      <c r="A151" s="7"/>
      <c r="B151" s="7"/>
      <c r="C151" s="2" t="s">
        <v>307</v>
      </c>
      <c r="D151" s="7">
        <f t="shared" ca="1" si="20"/>
        <v>1</v>
      </c>
      <c r="E151" s="7" t="e">
        <f t="shared" ca="1" si="21"/>
        <v>#REF!</v>
      </c>
      <c r="F151" s="7" t="e">
        <f t="shared" ca="1" si="22"/>
        <v>#REF!</v>
      </c>
      <c r="G151" s="7" t="e">
        <f t="shared" ca="1" si="23"/>
        <v>#REF!</v>
      </c>
      <c r="H151" s="7"/>
      <c r="I151" s="7"/>
      <c r="J151" s="1" t="s">
        <v>1356</v>
      </c>
      <c r="K151" s="6" t="e">
        <f t="shared" ca="1" si="25"/>
        <v>#REF!</v>
      </c>
      <c r="L151" s="6" t="e">
        <f t="shared" ca="1" si="24"/>
        <v>#REF!</v>
      </c>
      <c r="M151" s="1" t="e">
        <f t="shared" ca="1" si="26"/>
        <v>#REF!</v>
      </c>
      <c r="N151" s="1" t="e">
        <f t="shared" ca="1" si="27"/>
        <v>#REF!</v>
      </c>
      <c r="O151" s="1" t="e">
        <f t="shared" ca="1" si="28"/>
        <v>#REF!</v>
      </c>
      <c r="P151" s="1" t="e">
        <f t="shared" ca="1" si="29"/>
        <v>#REF!</v>
      </c>
    </row>
    <row r="152" spans="1:16">
      <c r="A152" s="7"/>
      <c r="B152" s="7"/>
      <c r="C152" s="2" t="s">
        <v>431</v>
      </c>
      <c r="D152" s="7">
        <f t="shared" ca="1" si="20"/>
        <v>1</v>
      </c>
      <c r="E152" s="7" t="e">
        <f t="shared" ca="1" si="21"/>
        <v>#REF!</v>
      </c>
      <c r="F152" s="7" t="e">
        <f t="shared" ca="1" si="22"/>
        <v>#REF!</v>
      </c>
      <c r="G152" s="7" t="e">
        <f t="shared" ca="1" si="23"/>
        <v>#REF!</v>
      </c>
      <c r="H152" s="7"/>
      <c r="I152" s="7"/>
      <c r="J152" s="1" t="s">
        <v>1356</v>
      </c>
      <c r="K152" s="6" t="e">
        <f t="shared" ca="1" si="25"/>
        <v>#REF!</v>
      </c>
      <c r="L152" s="6" t="e">
        <f t="shared" ca="1" si="24"/>
        <v>#REF!</v>
      </c>
      <c r="M152" s="1" t="e">
        <f t="shared" ca="1" si="26"/>
        <v>#REF!</v>
      </c>
      <c r="N152" s="1" t="e">
        <f t="shared" ca="1" si="27"/>
        <v>#REF!</v>
      </c>
      <c r="O152" s="1" t="e">
        <f t="shared" ca="1" si="28"/>
        <v>#REF!</v>
      </c>
      <c r="P152" s="1" t="e">
        <f t="shared" ca="1" si="29"/>
        <v>#REF!</v>
      </c>
    </row>
    <row r="153" spans="1:16">
      <c r="A153" s="7"/>
      <c r="B153" s="7"/>
      <c r="C153" s="2" t="s">
        <v>433</v>
      </c>
      <c r="D153" s="7">
        <f t="shared" ca="1" si="20"/>
        <v>1</v>
      </c>
      <c r="E153" s="7" t="e">
        <f t="shared" ca="1" si="21"/>
        <v>#REF!</v>
      </c>
      <c r="F153" s="7" t="e">
        <f t="shared" ca="1" si="22"/>
        <v>#REF!</v>
      </c>
      <c r="G153" s="7" t="e">
        <f t="shared" ca="1" si="23"/>
        <v>#REF!</v>
      </c>
      <c r="H153" s="7"/>
      <c r="I153" s="7"/>
      <c r="J153" s="1" t="s">
        <v>1356</v>
      </c>
      <c r="K153" s="6" t="e">
        <f t="shared" ca="1" si="25"/>
        <v>#REF!</v>
      </c>
      <c r="L153" s="6" t="e">
        <f t="shared" ca="1" si="24"/>
        <v>#REF!</v>
      </c>
      <c r="M153" s="1" t="e">
        <f t="shared" ca="1" si="26"/>
        <v>#REF!</v>
      </c>
      <c r="N153" s="1" t="e">
        <f t="shared" ca="1" si="27"/>
        <v>#REF!</v>
      </c>
      <c r="O153" s="1" t="e">
        <f t="shared" ca="1" si="28"/>
        <v>#REF!</v>
      </c>
      <c r="P153" s="1" t="e">
        <f t="shared" ca="1" si="29"/>
        <v>#REF!</v>
      </c>
    </row>
    <row r="154" spans="1:16">
      <c r="A154" s="7"/>
      <c r="B154" s="7"/>
      <c r="C154" s="2" t="s">
        <v>452</v>
      </c>
      <c r="D154" s="7">
        <f t="shared" ca="1" si="20"/>
        <v>1</v>
      </c>
      <c r="E154" s="7" t="e">
        <f t="shared" ca="1" si="21"/>
        <v>#REF!</v>
      </c>
      <c r="F154" s="7" t="e">
        <f t="shared" ca="1" si="22"/>
        <v>#REF!</v>
      </c>
      <c r="G154" s="7" t="e">
        <f t="shared" ca="1" si="23"/>
        <v>#REF!</v>
      </c>
      <c r="H154" s="7"/>
      <c r="I154" s="7"/>
      <c r="J154" s="1" t="s">
        <v>1356</v>
      </c>
      <c r="K154" s="6" t="e">
        <f t="shared" ca="1" si="25"/>
        <v>#REF!</v>
      </c>
      <c r="L154" s="6" t="e">
        <f t="shared" ca="1" si="24"/>
        <v>#REF!</v>
      </c>
      <c r="M154" s="1" t="e">
        <f t="shared" ca="1" si="26"/>
        <v>#REF!</v>
      </c>
      <c r="N154" s="1" t="e">
        <f t="shared" ca="1" si="27"/>
        <v>#REF!</v>
      </c>
      <c r="O154" s="1" t="e">
        <f t="shared" ca="1" si="28"/>
        <v>#REF!</v>
      </c>
      <c r="P154" s="1" t="e">
        <f t="shared" ca="1" si="29"/>
        <v>#REF!</v>
      </c>
    </row>
    <row r="155" spans="1:16">
      <c r="A155" s="7"/>
      <c r="B155" s="7"/>
      <c r="C155" s="2" t="s">
        <v>456</v>
      </c>
      <c r="D155" s="7">
        <f t="shared" ca="1" si="20"/>
        <v>1</v>
      </c>
      <c r="E155" s="7" t="e">
        <f t="shared" ca="1" si="21"/>
        <v>#REF!</v>
      </c>
      <c r="F155" s="7" t="e">
        <f t="shared" ca="1" si="22"/>
        <v>#REF!</v>
      </c>
      <c r="G155" s="7" t="e">
        <f t="shared" ca="1" si="23"/>
        <v>#REF!</v>
      </c>
      <c r="H155" s="7"/>
      <c r="I155" s="7"/>
      <c r="J155" s="1" t="s">
        <v>1356</v>
      </c>
      <c r="K155" s="6" t="e">
        <f t="shared" ca="1" si="25"/>
        <v>#REF!</v>
      </c>
      <c r="L155" s="6" t="e">
        <f t="shared" ca="1" si="24"/>
        <v>#REF!</v>
      </c>
      <c r="M155" s="1" t="e">
        <f t="shared" ca="1" si="26"/>
        <v>#REF!</v>
      </c>
      <c r="N155" s="1" t="e">
        <f t="shared" ca="1" si="27"/>
        <v>#REF!</v>
      </c>
      <c r="O155" s="1" t="e">
        <f t="shared" ca="1" si="28"/>
        <v>#REF!</v>
      </c>
      <c r="P155" s="1" t="e">
        <f t="shared" ca="1" si="29"/>
        <v>#REF!</v>
      </c>
    </row>
    <row r="156" spans="1:16">
      <c r="A156" s="7"/>
      <c r="B156" s="7"/>
      <c r="C156" s="2" t="s">
        <v>4246</v>
      </c>
      <c r="D156" s="7">
        <f t="shared" ca="1" si="20"/>
        <v>1</v>
      </c>
      <c r="E156" s="7" t="e">
        <f t="shared" ca="1" si="21"/>
        <v>#REF!</v>
      </c>
      <c r="F156" s="7" t="e">
        <f t="shared" ca="1" si="22"/>
        <v>#REF!</v>
      </c>
      <c r="G156" s="7" t="e">
        <f t="shared" ca="1" si="23"/>
        <v>#REF!</v>
      </c>
      <c r="H156" s="7"/>
      <c r="I156" s="7"/>
      <c r="J156" s="1" t="s">
        <v>1356</v>
      </c>
      <c r="K156" s="6" t="e">
        <f t="shared" ca="1" si="25"/>
        <v>#REF!</v>
      </c>
      <c r="L156" s="6" t="e">
        <f t="shared" ca="1" si="24"/>
        <v>#REF!</v>
      </c>
      <c r="M156" s="1" t="e">
        <f t="shared" ca="1" si="26"/>
        <v>#REF!</v>
      </c>
      <c r="N156" s="1" t="e">
        <f t="shared" ca="1" si="27"/>
        <v>#REF!</v>
      </c>
      <c r="O156" s="1" t="e">
        <f t="shared" ca="1" si="28"/>
        <v>#REF!</v>
      </c>
      <c r="P156" s="1" t="e">
        <f t="shared" ca="1" si="29"/>
        <v>#REF!</v>
      </c>
    </row>
    <row r="157" spans="1:16">
      <c r="A157" s="7"/>
      <c r="B157" s="7"/>
      <c r="C157" s="2" t="s">
        <v>522</v>
      </c>
      <c r="D157" s="7">
        <f t="shared" ca="1" si="20"/>
        <v>1</v>
      </c>
      <c r="E157" s="7" t="e">
        <f t="shared" ca="1" si="21"/>
        <v>#REF!</v>
      </c>
      <c r="F157" s="7" t="e">
        <f t="shared" ca="1" si="22"/>
        <v>#REF!</v>
      </c>
      <c r="G157" s="7" t="e">
        <f t="shared" ca="1" si="23"/>
        <v>#REF!</v>
      </c>
      <c r="H157" s="7"/>
      <c r="I157" s="7"/>
      <c r="J157" s="1" t="s">
        <v>1356</v>
      </c>
      <c r="K157" s="6" t="e">
        <f t="shared" ca="1" si="25"/>
        <v>#REF!</v>
      </c>
      <c r="L157" s="6" t="e">
        <f t="shared" ca="1" si="24"/>
        <v>#REF!</v>
      </c>
      <c r="M157" s="1" t="e">
        <f t="shared" ca="1" si="26"/>
        <v>#REF!</v>
      </c>
      <c r="N157" s="1" t="e">
        <f t="shared" ca="1" si="27"/>
        <v>#REF!</v>
      </c>
      <c r="O157" s="1" t="e">
        <f t="shared" ca="1" si="28"/>
        <v>#REF!</v>
      </c>
      <c r="P157" s="1" t="e">
        <f t="shared" ca="1" si="29"/>
        <v>#REF!</v>
      </c>
    </row>
    <row r="158" spans="1:16">
      <c r="A158" s="7"/>
      <c r="B158" s="7"/>
      <c r="C158" s="2" t="s">
        <v>529</v>
      </c>
      <c r="D158" s="7">
        <f t="shared" ca="1" si="20"/>
        <v>1</v>
      </c>
      <c r="E158" s="7" t="e">
        <f t="shared" ca="1" si="21"/>
        <v>#REF!</v>
      </c>
      <c r="F158" s="7" t="e">
        <f t="shared" ca="1" si="22"/>
        <v>#REF!</v>
      </c>
      <c r="G158" s="7" t="e">
        <f t="shared" ca="1" si="23"/>
        <v>#REF!</v>
      </c>
      <c r="H158" s="7"/>
      <c r="I158" s="7"/>
      <c r="J158" s="1" t="s">
        <v>1356</v>
      </c>
      <c r="K158" s="6" t="e">
        <f t="shared" ca="1" si="25"/>
        <v>#REF!</v>
      </c>
      <c r="L158" s="6" t="e">
        <f t="shared" ca="1" si="24"/>
        <v>#REF!</v>
      </c>
      <c r="M158" s="1" t="e">
        <f t="shared" ca="1" si="26"/>
        <v>#REF!</v>
      </c>
      <c r="N158" s="1" t="e">
        <f t="shared" ca="1" si="27"/>
        <v>#REF!</v>
      </c>
      <c r="O158" s="1" t="e">
        <f t="shared" ca="1" si="28"/>
        <v>#REF!</v>
      </c>
      <c r="P158" s="1" t="e">
        <f t="shared" ca="1" si="29"/>
        <v>#REF!</v>
      </c>
    </row>
    <row r="159" spans="1:16">
      <c r="A159" s="7"/>
      <c r="B159" s="7"/>
      <c r="C159" s="2" t="s">
        <v>462</v>
      </c>
      <c r="D159" s="7">
        <f t="shared" ca="1" si="20"/>
        <v>1</v>
      </c>
      <c r="E159" s="7" t="e">
        <f t="shared" ca="1" si="21"/>
        <v>#REF!</v>
      </c>
      <c r="F159" s="7" t="e">
        <f t="shared" ca="1" si="22"/>
        <v>#REF!</v>
      </c>
      <c r="G159" s="7" t="e">
        <f t="shared" ca="1" si="23"/>
        <v>#REF!</v>
      </c>
      <c r="H159" s="7"/>
      <c r="I159" s="7"/>
      <c r="J159" s="1" t="s">
        <v>1356</v>
      </c>
      <c r="K159" s="6" t="e">
        <f t="shared" ca="1" si="25"/>
        <v>#REF!</v>
      </c>
      <c r="L159" s="6" t="e">
        <f t="shared" ca="1" si="24"/>
        <v>#REF!</v>
      </c>
      <c r="M159" s="1" t="e">
        <f t="shared" ca="1" si="26"/>
        <v>#REF!</v>
      </c>
      <c r="N159" s="1" t="e">
        <f t="shared" ca="1" si="27"/>
        <v>#REF!</v>
      </c>
      <c r="O159" s="1" t="e">
        <f t="shared" ca="1" si="28"/>
        <v>#REF!</v>
      </c>
      <c r="P159" s="1" t="e">
        <f t="shared" ca="1" si="29"/>
        <v>#REF!</v>
      </c>
    </row>
    <row r="160" spans="1:16">
      <c r="A160" s="7"/>
      <c r="B160" s="7"/>
      <c r="C160" s="2" t="s">
        <v>471</v>
      </c>
      <c r="D160" s="7">
        <f t="shared" ca="1" si="20"/>
        <v>1</v>
      </c>
      <c r="E160" s="7" t="e">
        <f t="shared" ca="1" si="21"/>
        <v>#REF!</v>
      </c>
      <c r="F160" s="7" t="e">
        <f t="shared" ca="1" si="22"/>
        <v>#REF!</v>
      </c>
      <c r="G160" s="7" t="e">
        <f t="shared" ca="1" si="23"/>
        <v>#REF!</v>
      </c>
      <c r="H160" s="7"/>
      <c r="I160" s="7"/>
      <c r="J160" s="1" t="s">
        <v>1356</v>
      </c>
      <c r="K160" s="6" t="e">
        <f t="shared" ca="1" si="25"/>
        <v>#REF!</v>
      </c>
      <c r="L160" s="6" t="e">
        <f t="shared" ca="1" si="24"/>
        <v>#REF!</v>
      </c>
      <c r="M160" s="1" t="e">
        <f t="shared" ca="1" si="26"/>
        <v>#REF!</v>
      </c>
      <c r="N160" s="1" t="e">
        <f t="shared" ca="1" si="27"/>
        <v>#REF!</v>
      </c>
      <c r="O160" s="1" t="e">
        <f t="shared" ca="1" si="28"/>
        <v>#REF!</v>
      </c>
      <c r="P160" s="1" t="e">
        <f t="shared" ca="1" si="29"/>
        <v>#REF!</v>
      </c>
    </row>
    <row r="161" spans="1:16">
      <c r="A161" s="7"/>
      <c r="B161" s="7"/>
      <c r="C161" s="2" t="s">
        <v>473</v>
      </c>
      <c r="D161" s="7">
        <f t="shared" ca="1" si="20"/>
        <v>1</v>
      </c>
      <c r="E161" s="7" t="e">
        <f t="shared" ca="1" si="21"/>
        <v>#REF!</v>
      </c>
      <c r="F161" s="7" t="e">
        <f t="shared" ca="1" si="22"/>
        <v>#REF!</v>
      </c>
      <c r="G161" s="7" t="e">
        <f t="shared" ca="1" si="23"/>
        <v>#REF!</v>
      </c>
      <c r="H161" s="7"/>
      <c r="I161" s="7"/>
      <c r="J161" s="1" t="s">
        <v>1356</v>
      </c>
      <c r="K161" s="6" t="e">
        <f t="shared" ca="1" si="25"/>
        <v>#REF!</v>
      </c>
      <c r="L161" s="6" t="e">
        <f t="shared" ca="1" si="24"/>
        <v>#REF!</v>
      </c>
      <c r="M161" s="1" t="e">
        <f t="shared" ca="1" si="26"/>
        <v>#REF!</v>
      </c>
      <c r="N161" s="1" t="e">
        <f t="shared" ca="1" si="27"/>
        <v>#REF!</v>
      </c>
      <c r="O161" s="1" t="e">
        <f t="shared" ca="1" si="28"/>
        <v>#REF!</v>
      </c>
      <c r="P161" s="1" t="e">
        <f t="shared" ca="1" si="29"/>
        <v>#REF!</v>
      </c>
    </row>
    <row r="162" spans="1:16">
      <c r="A162" s="7"/>
      <c r="B162" s="7"/>
      <c r="C162" s="2" t="s">
        <v>977</v>
      </c>
      <c r="D162" s="7">
        <f t="shared" ca="1" si="20"/>
        <v>1</v>
      </c>
      <c r="E162" s="7" t="e">
        <f t="shared" ca="1" si="21"/>
        <v>#REF!</v>
      </c>
      <c r="F162" s="7" t="e">
        <f t="shared" ca="1" si="22"/>
        <v>#REF!</v>
      </c>
      <c r="G162" s="7" t="e">
        <f t="shared" ca="1" si="23"/>
        <v>#REF!</v>
      </c>
      <c r="H162" s="7"/>
      <c r="I162" s="7"/>
      <c r="J162" s="1" t="s">
        <v>1356</v>
      </c>
      <c r="K162" s="6" t="e">
        <f t="shared" ca="1" si="25"/>
        <v>#REF!</v>
      </c>
      <c r="L162" s="6" t="e">
        <f t="shared" ca="1" si="24"/>
        <v>#REF!</v>
      </c>
      <c r="M162" s="1" t="e">
        <f t="shared" ca="1" si="26"/>
        <v>#REF!</v>
      </c>
      <c r="N162" s="1" t="e">
        <f t="shared" ca="1" si="27"/>
        <v>#REF!</v>
      </c>
      <c r="O162" s="1" t="e">
        <f t="shared" ca="1" si="28"/>
        <v>#REF!</v>
      </c>
      <c r="P162" s="1" t="e">
        <f t="shared" ca="1" si="29"/>
        <v>#REF!</v>
      </c>
    </row>
    <row r="163" spans="1:16">
      <c r="A163" s="7"/>
      <c r="B163" s="7"/>
      <c r="C163" s="2" t="s">
        <v>978</v>
      </c>
      <c r="D163" s="7">
        <f t="shared" ca="1" si="20"/>
        <v>1</v>
      </c>
      <c r="E163" s="7" t="e">
        <f t="shared" ca="1" si="21"/>
        <v>#REF!</v>
      </c>
      <c r="F163" s="7" t="e">
        <f t="shared" ca="1" si="22"/>
        <v>#REF!</v>
      </c>
      <c r="G163" s="7" t="e">
        <f t="shared" ca="1" si="23"/>
        <v>#REF!</v>
      </c>
      <c r="H163" s="7"/>
      <c r="I163" s="7"/>
      <c r="J163" s="1" t="s">
        <v>1356</v>
      </c>
      <c r="K163" s="6" t="e">
        <f t="shared" ca="1" si="25"/>
        <v>#REF!</v>
      </c>
      <c r="L163" s="6" t="e">
        <f t="shared" ca="1" si="24"/>
        <v>#REF!</v>
      </c>
      <c r="M163" s="1" t="e">
        <f t="shared" ca="1" si="26"/>
        <v>#REF!</v>
      </c>
      <c r="N163" s="1" t="e">
        <f t="shared" ca="1" si="27"/>
        <v>#REF!</v>
      </c>
      <c r="O163" s="1" t="e">
        <f t="shared" ca="1" si="28"/>
        <v>#REF!</v>
      </c>
      <c r="P163" s="1" t="e">
        <f t="shared" ca="1" si="29"/>
        <v>#REF!</v>
      </c>
    </row>
    <row r="164" spans="1:16">
      <c r="A164" s="7"/>
      <c r="B164" s="7"/>
      <c r="C164" s="2" t="s">
        <v>809</v>
      </c>
      <c r="D164" s="7">
        <f t="shared" ca="1" si="20"/>
        <v>1</v>
      </c>
      <c r="E164" s="7" t="e">
        <f t="shared" ca="1" si="21"/>
        <v>#REF!</v>
      </c>
      <c r="F164" s="7" t="e">
        <f t="shared" ca="1" si="22"/>
        <v>#REF!</v>
      </c>
      <c r="G164" s="7" t="e">
        <f t="shared" ca="1" si="23"/>
        <v>#REF!</v>
      </c>
      <c r="H164" s="7"/>
      <c r="I164" s="7"/>
      <c r="J164" s="1" t="s">
        <v>1356</v>
      </c>
      <c r="K164" s="6" t="e">
        <f t="shared" ca="1" si="25"/>
        <v>#REF!</v>
      </c>
      <c r="L164" s="6" t="e">
        <f t="shared" ca="1" si="24"/>
        <v>#REF!</v>
      </c>
      <c r="M164" s="1" t="e">
        <f t="shared" ca="1" si="26"/>
        <v>#REF!</v>
      </c>
      <c r="N164" s="1" t="e">
        <f t="shared" ca="1" si="27"/>
        <v>#REF!</v>
      </c>
      <c r="O164" s="1" t="e">
        <f t="shared" ca="1" si="28"/>
        <v>#REF!</v>
      </c>
      <c r="P164" s="1" t="e">
        <f t="shared" ca="1" si="29"/>
        <v>#REF!</v>
      </c>
    </row>
    <row r="165" spans="1:16">
      <c r="A165" s="7"/>
      <c r="B165" s="7"/>
      <c r="C165" s="2" t="s">
        <v>4247</v>
      </c>
      <c r="D165" s="7">
        <f t="shared" ca="1" si="20"/>
        <v>1</v>
      </c>
      <c r="E165" s="7" t="e">
        <f t="shared" ca="1" si="21"/>
        <v>#REF!</v>
      </c>
      <c r="F165" s="7" t="e">
        <f t="shared" ca="1" si="22"/>
        <v>#REF!</v>
      </c>
      <c r="G165" s="7" t="e">
        <f t="shared" ca="1" si="23"/>
        <v>#REF!</v>
      </c>
      <c r="H165" s="7"/>
      <c r="I165" s="7"/>
      <c r="J165" s="1" t="s">
        <v>1356</v>
      </c>
      <c r="K165" s="6" t="e">
        <f t="shared" ca="1" si="25"/>
        <v>#REF!</v>
      </c>
      <c r="L165" s="6" t="e">
        <f t="shared" ca="1" si="24"/>
        <v>#REF!</v>
      </c>
      <c r="M165" s="1" t="e">
        <f t="shared" ca="1" si="26"/>
        <v>#REF!</v>
      </c>
      <c r="N165" s="1" t="e">
        <f t="shared" ca="1" si="27"/>
        <v>#REF!</v>
      </c>
      <c r="O165" s="1" t="e">
        <f t="shared" ca="1" si="28"/>
        <v>#REF!</v>
      </c>
      <c r="P165" s="1" t="e">
        <f t="shared" ca="1" si="29"/>
        <v>#REF!</v>
      </c>
    </row>
    <row r="166" spans="1:16">
      <c r="A166" s="7"/>
      <c r="B166" s="7"/>
      <c r="C166" s="2" t="s">
        <v>4248</v>
      </c>
      <c r="D166" s="7">
        <f t="shared" ca="1" si="20"/>
        <v>1</v>
      </c>
      <c r="E166" s="7" t="e">
        <f t="shared" ca="1" si="21"/>
        <v>#REF!</v>
      </c>
      <c r="F166" s="7" t="e">
        <f t="shared" ca="1" si="22"/>
        <v>#REF!</v>
      </c>
      <c r="G166" s="7" t="e">
        <f t="shared" ca="1" si="23"/>
        <v>#REF!</v>
      </c>
      <c r="H166" s="7"/>
      <c r="I166" s="7"/>
      <c r="J166" s="1" t="s">
        <v>1356</v>
      </c>
      <c r="K166" s="6" t="e">
        <f t="shared" ca="1" si="25"/>
        <v>#REF!</v>
      </c>
      <c r="L166" s="6" t="e">
        <f t="shared" ca="1" si="24"/>
        <v>#REF!</v>
      </c>
      <c r="M166" s="1" t="e">
        <f t="shared" ca="1" si="26"/>
        <v>#REF!</v>
      </c>
      <c r="N166" s="1" t="e">
        <f t="shared" ca="1" si="27"/>
        <v>#REF!</v>
      </c>
      <c r="O166" s="1" t="e">
        <f t="shared" ca="1" si="28"/>
        <v>#REF!</v>
      </c>
      <c r="P166" s="1" t="e">
        <f t="shared" ca="1" si="29"/>
        <v>#REF!</v>
      </c>
    </row>
    <row r="167" spans="1:16">
      <c r="A167" s="7"/>
      <c r="B167" s="7"/>
      <c r="C167" s="2" t="s">
        <v>4249</v>
      </c>
      <c r="D167" s="7">
        <f t="shared" ca="1" si="20"/>
        <v>1</v>
      </c>
      <c r="E167" s="7" t="e">
        <f t="shared" ca="1" si="21"/>
        <v>#REF!</v>
      </c>
      <c r="F167" s="7" t="e">
        <f t="shared" ca="1" si="22"/>
        <v>#REF!</v>
      </c>
      <c r="G167" s="7" t="e">
        <f t="shared" ca="1" si="23"/>
        <v>#REF!</v>
      </c>
      <c r="H167" s="7"/>
      <c r="I167" s="7"/>
      <c r="J167" s="1" t="s">
        <v>1356</v>
      </c>
      <c r="K167" s="6" t="e">
        <f t="shared" ca="1" si="25"/>
        <v>#REF!</v>
      </c>
      <c r="L167" s="6" t="e">
        <f t="shared" ca="1" si="24"/>
        <v>#REF!</v>
      </c>
      <c r="M167" s="1" t="e">
        <f t="shared" ca="1" si="26"/>
        <v>#REF!</v>
      </c>
      <c r="N167" s="1" t="e">
        <f t="shared" ca="1" si="27"/>
        <v>#REF!</v>
      </c>
      <c r="O167" s="1" t="e">
        <f t="shared" ca="1" si="28"/>
        <v>#REF!</v>
      </c>
      <c r="P167" s="1" t="e">
        <f t="shared" ca="1" si="29"/>
        <v>#REF!</v>
      </c>
    </row>
    <row r="168" spans="1:16">
      <c r="A168" s="7"/>
      <c r="B168" s="7"/>
      <c r="C168" s="2" t="s">
        <v>4250</v>
      </c>
      <c r="D168" s="7">
        <f t="shared" ca="1" si="20"/>
        <v>1</v>
      </c>
      <c r="E168" s="7" t="e">
        <f t="shared" ca="1" si="21"/>
        <v>#REF!</v>
      </c>
      <c r="F168" s="7" t="e">
        <f t="shared" ca="1" si="22"/>
        <v>#REF!</v>
      </c>
      <c r="G168" s="7" t="e">
        <f t="shared" ca="1" si="23"/>
        <v>#REF!</v>
      </c>
      <c r="H168" s="7"/>
      <c r="I168" s="7"/>
      <c r="J168" s="1" t="s">
        <v>1356</v>
      </c>
      <c r="K168" s="6" t="e">
        <f t="shared" ca="1" si="25"/>
        <v>#REF!</v>
      </c>
      <c r="L168" s="6" t="e">
        <f t="shared" ca="1" si="24"/>
        <v>#REF!</v>
      </c>
      <c r="M168" s="1" t="e">
        <f t="shared" ca="1" si="26"/>
        <v>#REF!</v>
      </c>
      <c r="N168" s="1" t="e">
        <f t="shared" ca="1" si="27"/>
        <v>#REF!</v>
      </c>
      <c r="O168" s="1" t="e">
        <f t="shared" ca="1" si="28"/>
        <v>#REF!</v>
      </c>
      <c r="P168" s="1" t="e">
        <f t="shared" ca="1" si="29"/>
        <v>#REF!</v>
      </c>
    </row>
    <row r="169" spans="1:16">
      <c r="A169" s="7"/>
      <c r="B169" s="7"/>
      <c r="C169" s="2" t="s">
        <v>4251</v>
      </c>
      <c r="D169" s="7">
        <f t="shared" ca="1" si="20"/>
        <v>1</v>
      </c>
      <c r="E169" s="7" t="e">
        <f t="shared" ca="1" si="21"/>
        <v>#REF!</v>
      </c>
      <c r="F169" s="7" t="e">
        <f t="shared" ca="1" si="22"/>
        <v>#REF!</v>
      </c>
      <c r="G169" s="7" t="e">
        <f t="shared" ca="1" si="23"/>
        <v>#REF!</v>
      </c>
      <c r="H169" s="7"/>
      <c r="I169" s="7"/>
      <c r="J169" s="1" t="s">
        <v>1356</v>
      </c>
      <c r="K169" s="6" t="e">
        <f t="shared" ca="1" si="25"/>
        <v>#REF!</v>
      </c>
      <c r="L169" s="6" t="e">
        <f t="shared" ca="1" si="24"/>
        <v>#REF!</v>
      </c>
      <c r="M169" s="1" t="e">
        <f t="shared" ca="1" si="26"/>
        <v>#REF!</v>
      </c>
      <c r="N169" s="1" t="e">
        <f t="shared" ca="1" si="27"/>
        <v>#REF!</v>
      </c>
      <c r="O169" s="1" t="e">
        <f t="shared" ca="1" si="28"/>
        <v>#REF!</v>
      </c>
      <c r="P169" s="1" t="e">
        <f t="shared" ca="1" si="29"/>
        <v>#REF!</v>
      </c>
    </row>
    <row r="170" spans="1:16">
      <c r="A170" s="7"/>
      <c r="B170" s="7"/>
      <c r="C170" s="2" t="s">
        <v>4252</v>
      </c>
      <c r="D170" s="7">
        <f t="shared" ca="1" si="20"/>
        <v>1</v>
      </c>
      <c r="E170" s="7" t="e">
        <f t="shared" ca="1" si="21"/>
        <v>#REF!</v>
      </c>
      <c r="F170" s="7" t="e">
        <f t="shared" ca="1" si="22"/>
        <v>#REF!</v>
      </c>
      <c r="G170" s="7" t="e">
        <f t="shared" ca="1" si="23"/>
        <v>#REF!</v>
      </c>
      <c r="H170" s="7"/>
      <c r="I170" s="7"/>
      <c r="J170" s="1" t="s">
        <v>1356</v>
      </c>
      <c r="K170" s="6" t="e">
        <f t="shared" ca="1" si="25"/>
        <v>#REF!</v>
      </c>
      <c r="L170" s="6" t="e">
        <f t="shared" ca="1" si="24"/>
        <v>#REF!</v>
      </c>
      <c r="M170" s="1" t="e">
        <f t="shared" ca="1" si="26"/>
        <v>#REF!</v>
      </c>
      <c r="N170" s="1" t="e">
        <f t="shared" ca="1" si="27"/>
        <v>#REF!</v>
      </c>
      <c r="O170" s="1" t="e">
        <f t="shared" ca="1" si="28"/>
        <v>#REF!</v>
      </c>
      <c r="P170" s="1" t="e">
        <f t="shared" ca="1" si="29"/>
        <v>#REF!</v>
      </c>
    </row>
    <row r="171" spans="1:16">
      <c r="A171" s="7"/>
      <c r="B171" s="7"/>
      <c r="C171" s="2" t="s">
        <v>4253</v>
      </c>
      <c r="D171" s="7">
        <f t="shared" ca="1" si="20"/>
        <v>1</v>
      </c>
      <c r="E171" s="7" t="e">
        <f t="shared" ca="1" si="21"/>
        <v>#REF!</v>
      </c>
      <c r="F171" s="7" t="e">
        <f t="shared" ca="1" si="22"/>
        <v>#REF!</v>
      </c>
      <c r="G171" s="7" t="e">
        <f t="shared" ca="1" si="23"/>
        <v>#REF!</v>
      </c>
      <c r="H171" s="7"/>
      <c r="I171" s="7"/>
      <c r="J171" s="1" t="s">
        <v>1356</v>
      </c>
      <c r="K171" s="6" t="e">
        <f t="shared" ca="1" si="25"/>
        <v>#REF!</v>
      </c>
      <c r="L171" s="6" t="e">
        <f t="shared" ca="1" si="24"/>
        <v>#REF!</v>
      </c>
      <c r="M171" s="1" t="e">
        <f t="shared" ca="1" si="26"/>
        <v>#REF!</v>
      </c>
      <c r="N171" s="1" t="e">
        <f t="shared" ca="1" si="27"/>
        <v>#REF!</v>
      </c>
      <c r="O171" s="1" t="e">
        <f t="shared" ca="1" si="28"/>
        <v>#REF!</v>
      </c>
      <c r="P171" s="1" t="e">
        <f t="shared" ca="1" si="29"/>
        <v>#REF!</v>
      </c>
    </row>
    <row r="172" spans="1:16">
      <c r="A172" s="7"/>
      <c r="B172" s="7"/>
      <c r="C172" s="2" t="s">
        <v>937</v>
      </c>
      <c r="D172" s="7">
        <f t="shared" ca="1" si="20"/>
        <v>1</v>
      </c>
      <c r="E172" s="7" t="e">
        <f t="shared" ca="1" si="21"/>
        <v>#REF!</v>
      </c>
      <c r="F172" s="7" t="e">
        <f t="shared" ca="1" si="22"/>
        <v>#REF!</v>
      </c>
      <c r="G172" s="7" t="e">
        <f t="shared" ca="1" si="23"/>
        <v>#REF!</v>
      </c>
      <c r="H172" s="7"/>
      <c r="I172" s="7"/>
      <c r="J172" s="1" t="s">
        <v>1356</v>
      </c>
      <c r="K172" s="6" t="e">
        <f t="shared" ca="1" si="25"/>
        <v>#REF!</v>
      </c>
      <c r="L172" s="6" t="e">
        <f t="shared" ca="1" si="24"/>
        <v>#REF!</v>
      </c>
      <c r="M172" s="1" t="e">
        <f t="shared" ca="1" si="26"/>
        <v>#REF!</v>
      </c>
      <c r="N172" s="1" t="e">
        <f t="shared" ca="1" si="27"/>
        <v>#REF!</v>
      </c>
      <c r="O172" s="1" t="e">
        <f t="shared" ca="1" si="28"/>
        <v>#REF!</v>
      </c>
      <c r="P172" s="1" t="e">
        <f t="shared" ca="1" si="29"/>
        <v>#REF!</v>
      </c>
    </row>
    <row r="173" spans="1:16">
      <c r="A173" s="7"/>
      <c r="B173" s="7"/>
      <c r="C173" s="2" t="s">
        <v>944</v>
      </c>
      <c r="D173" s="7">
        <f t="shared" ca="1" si="20"/>
        <v>1</v>
      </c>
      <c r="E173" s="7" t="e">
        <f t="shared" ca="1" si="21"/>
        <v>#REF!</v>
      </c>
      <c r="F173" s="7" t="e">
        <f t="shared" ca="1" si="22"/>
        <v>#REF!</v>
      </c>
      <c r="G173" s="7" t="e">
        <f t="shared" ca="1" si="23"/>
        <v>#REF!</v>
      </c>
      <c r="H173" s="7"/>
      <c r="I173" s="7"/>
      <c r="J173" s="1" t="s">
        <v>1356</v>
      </c>
      <c r="K173" s="6" t="e">
        <f t="shared" ca="1" si="25"/>
        <v>#REF!</v>
      </c>
      <c r="L173" s="6" t="e">
        <f t="shared" ca="1" si="24"/>
        <v>#REF!</v>
      </c>
      <c r="M173" s="1" t="e">
        <f t="shared" ca="1" si="26"/>
        <v>#REF!</v>
      </c>
      <c r="N173" s="1" t="e">
        <f t="shared" ca="1" si="27"/>
        <v>#REF!</v>
      </c>
      <c r="O173" s="1" t="e">
        <f t="shared" ca="1" si="28"/>
        <v>#REF!</v>
      </c>
      <c r="P173" s="1" t="e">
        <f t="shared" ca="1" si="29"/>
        <v>#REF!</v>
      </c>
    </row>
    <row r="174" spans="1:16">
      <c r="A174" s="7"/>
      <c r="B174" s="7"/>
      <c r="C174" s="2" t="s">
        <v>4254</v>
      </c>
      <c r="D174" s="7">
        <f t="shared" ca="1" si="20"/>
        <v>1</v>
      </c>
      <c r="E174" s="7" t="e">
        <f t="shared" ca="1" si="21"/>
        <v>#REF!</v>
      </c>
      <c r="F174" s="7" t="e">
        <f t="shared" ca="1" si="22"/>
        <v>#REF!</v>
      </c>
      <c r="G174" s="7" t="e">
        <f t="shared" ca="1" si="23"/>
        <v>#REF!</v>
      </c>
      <c r="H174" s="7"/>
      <c r="I174" s="7"/>
      <c r="J174" s="1" t="s">
        <v>1356</v>
      </c>
      <c r="K174" s="6" t="e">
        <f t="shared" ca="1" si="25"/>
        <v>#REF!</v>
      </c>
      <c r="L174" s="6" t="e">
        <f t="shared" ca="1" si="24"/>
        <v>#REF!</v>
      </c>
      <c r="M174" s="1" t="e">
        <f t="shared" ca="1" si="26"/>
        <v>#REF!</v>
      </c>
      <c r="N174" s="1" t="e">
        <f t="shared" ca="1" si="27"/>
        <v>#REF!</v>
      </c>
      <c r="O174" s="1" t="e">
        <f t="shared" ca="1" si="28"/>
        <v>#REF!</v>
      </c>
      <c r="P174" s="1" t="e">
        <f t="shared" ca="1" si="29"/>
        <v>#REF!</v>
      </c>
    </row>
    <row r="175" spans="1:16">
      <c r="A175" s="7"/>
      <c r="B175" s="7"/>
      <c r="C175" s="2" t="s">
        <v>4255</v>
      </c>
      <c r="D175" s="7">
        <f t="shared" ca="1" si="20"/>
        <v>1</v>
      </c>
      <c r="E175" s="7" t="e">
        <f t="shared" ca="1" si="21"/>
        <v>#REF!</v>
      </c>
      <c r="F175" s="7" t="e">
        <f t="shared" ca="1" si="22"/>
        <v>#REF!</v>
      </c>
      <c r="G175" s="7" t="e">
        <f t="shared" ca="1" si="23"/>
        <v>#REF!</v>
      </c>
      <c r="H175" s="7"/>
      <c r="I175" s="7"/>
      <c r="J175" s="1" t="s">
        <v>1356</v>
      </c>
      <c r="K175" s="6" t="e">
        <f t="shared" ca="1" si="25"/>
        <v>#REF!</v>
      </c>
      <c r="L175" s="6" t="e">
        <f t="shared" ca="1" si="24"/>
        <v>#REF!</v>
      </c>
      <c r="M175" s="1" t="e">
        <f t="shared" ca="1" si="26"/>
        <v>#REF!</v>
      </c>
      <c r="N175" s="1" t="e">
        <f t="shared" ca="1" si="27"/>
        <v>#REF!</v>
      </c>
      <c r="O175" s="1" t="e">
        <f t="shared" ca="1" si="28"/>
        <v>#REF!</v>
      </c>
      <c r="P175" s="1" t="e">
        <f t="shared" ca="1" si="29"/>
        <v>#REF!</v>
      </c>
    </row>
    <row r="176" spans="1:16">
      <c r="A176" s="7"/>
      <c r="C176" s="2" t="s">
        <v>4256</v>
      </c>
      <c r="D176" s="7">
        <f t="shared" ca="1" si="20"/>
        <v>1</v>
      </c>
      <c r="E176" s="7" t="e">
        <f t="shared" ca="1" si="21"/>
        <v>#REF!</v>
      </c>
      <c r="F176" s="7" t="e">
        <f t="shared" ca="1" si="22"/>
        <v>#REF!</v>
      </c>
      <c r="G176" s="7" t="e">
        <f t="shared" ca="1" si="23"/>
        <v>#REF!</v>
      </c>
      <c r="H176" s="7"/>
      <c r="I176" s="7"/>
      <c r="J176" s="1" t="s">
        <v>1356</v>
      </c>
      <c r="K176" s="6" t="e">
        <f t="shared" ca="1" si="25"/>
        <v>#REF!</v>
      </c>
      <c r="L176" s="6" t="e">
        <f t="shared" ca="1" si="24"/>
        <v>#REF!</v>
      </c>
      <c r="M176" s="1" t="e">
        <f t="shared" ca="1" si="26"/>
        <v>#REF!</v>
      </c>
      <c r="N176" s="1" t="e">
        <f t="shared" ca="1" si="27"/>
        <v>#REF!</v>
      </c>
      <c r="O176" s="1" t="e">
        <f t="shared" ca="1" si="28"/>
        <v>#REF!</v>
      </c>
      <c r="P176" s="1" t="e">
        <f t="shared" ca="1" si="29"/>
        <v>#REF!</v>
      </c>
    </row>
    <row r="177" spans="1:16">
      <c r="A177" s="7"/>
      <c r="C177" s="2" t="s">
        <v>937</v>
      </c>
      <c r="D177" s="7">
        <f t="shared" ca="1" si="20"/>
        <v>1</v>
      </c>
      <c r="E177" s="7" t="e">
        <f t="shared" ca="1" si="21"/>
        <v>#REF!</v>
      </c>
      <c r="F177" s="7" t="e">
        <f t="shared" ca="1" si="22"/>
        <v>#REF!</v>
      </c>
      <c r="G177" s="7" t="e">
        <f t="shared" ca="1" si="23"/>
        <v>#REF!</v>
      </c>
      <c r="H177" s="7"/>
      <c r="I177" s="7"/>
      <c r="J177" s="1" t="s">
        <v>1356</v>
      </c>
      <c r="K177" s="6" t="e">
        <f t="shared" ca="1" si="25"/>
        <v>#REF!</v>
      </c>
      <c r="L177" s="6" t="e">
        <f t="shared" ca="1" si="24"/>
        <v>#REF!</v>
      </c>
      <c r="M177" s="1" t="e">
        <f t="shared" ca="1" si="26"/>
        <v>#REF!</v>
      </c>
      <c r="N177" s="1" t="e">
        <f t="shared" ca="1" si="27"/>
        <v>#REF!</v>
      </c>
      <c r="O177" s="1" t="e">
        <f t="shared" ca="1" si="28"/>
        <v>#REF!</v>
      </c>
      <c r="P177" s="1" t="e">
        <f t="shared" ca="1" si="29"/>
        <v>#REF!</v>
      </c>
    </row>
    <row r="178" spans="1:16">
      <c r="A178" s="7"/>
      <c r="C178" s="2" t="s">
        <v>944</v>
      </c>
      <c r="D178" s="7">
        <f t="shared" ca="1" si="20"/>
        <v>1</v>
      </c>
      <c r="E178" s="7" t="e">
        <f t="shared" ca="1" si="21"/>
        <v>#REF!</v>
      </c>
      <c r="F178" s="7" t="e">
        <f t="shared" ca="1" si="22"/>
        <v>#REF!</v>
      </c>
      <c r="G178" s="7" t="e">
        <f t="shared" ca="1" si="23"/>
        <v>#REF!</v>
      </c>
      <c r="H178" s="7"/>
      <c r="I178" s="7"/>
      <c r="J178" s="1" t="s">
        <v>1356</v>
      </c>
      <c r="K178" s="6" t="e">
        <f t="shared" ca="1" si="25"/>
        <v>#REF!</v>
      </c>
      <c r="L178" s="6" t="e">
        <f t="shared" ca="1" si="24"/>
        <v>#REF!</v>
      </c>
      <c r="M178" s="1" t="e">
        <f t="shared" ca="1" si="26"/>
        <v>#REF!</v>
      </c>
      <c r="N178" s="1" t="e">
        <f t="shared" ca="1" si="27"/>
        <v>#REF!</v>
      </c>
      <c r="O178" s="1" t="e">
        <f t="shared" ca="1" si="28"/>
        <v>#REF!</v>
      </c>
      <c r="P178" s="1" t="e">
        <f t="shared" ca="1" si="29"/>
        <v>#REF!</v>
      </c>
    </row>
    <row r="179" spans="1:16">
      <c r="A179" s="7"/>
      <c r="C179" s="2" t="s">
        <v>4257</v>
      </c>
      <c r="D179" s="7">
        <f t="shared" ca="1" si="20"/>
        <v>1</v>
      </c>
      <c r="E179" s="7" t="e">
        <f t="shared" ca="1" si="21"/>
        <v>#REF!</v>
      </c>
      <c r="F179" s="7" t="e">
        <f t="shared" ca="1" si="22"/>
        <v>#REF!</v>
      </c>
      <c r="G179" s="7" t="e">
        <f t="shared" ca="1" si="23"/>
        <v>#REF!</v>
      </c>
      <c r="H179" s="7"/>
      <c r="I179" s="7"/>
      <c r="J179" s="1" t="s">
        <v>1356</v>
      </c>
      <c r="K179" s="6" t="e">
        <f t="shared" ca="1" si="25"/>
        <v>#REF!</v>
      </c>
      <c r="L179" s="6" t="e">
        <f t="shared" ca="1" si="24"/>
        <v>#REF!</v>
      </c>
      <c r="M179" s="1" t="e">
        <f t="shared" ca="1" si="26"/>
        <v>#REF!</v>
      </c>
      <c r="N179" s="1" t="e">
        <f t="shared" ca="1" si="27"/>
        <v>#REF!</v>
      </c>
      <c r="O179" s="1" t="e">
        <f t="shared" ca="1" si="28"/>
        <v>#REF!</v>
      </c>
      <c r="P179" s="1" t="e">
        <f t="shared" ca="1" si="29"/>
        <v>#REF!</v>
      </c>
    </row>
    <row r="180" spans="1:16">
      <c r="A180" s="7"/>
      <c r="C180" s="2" t="s">
        <v>1087</v>
      </c>
      <c r="D180" s="7">
        <f t="shared" ca="1" si="20"/>
        <v>1</v>
      </c>
      <c r="E180" s="7" t="e">
        <f t="shared" ca="1" si="21"/>
        <v>#REF!</v>
      </c>
      <c r="F180" s="7" t="e">
        <f t="shared" ca="1" si="22"/>
        <v>#REF!</v>
      </c>
      <c r="G180" s="7" t="e">
        <f t="shared" ca="1" si="23"/>
        <v>#REF!</v>
      </c>
      <c r="H180" s="7"/>
      <c r="I180" s="7"/>
      <c r="J180" s="1" t="s">
        <v>1356</v>
      </c>
      <c r="K180" s="6" t="e">
        <f t="shared" ca="1" si="25"/>
        <v>#REF!</v>
      </c>
      <c r="L180" s="6" t="e">
        <f t="shared" ca="1" si="24"/>
        <v>#REF!</v>
      </c>
      <c r="M180" s="1" t="e">
        <f t="shared" ca="1" si="26"/>
        <v>#REF!</v>
      </c>
      <c r="N180" s="1" t="e">
        <f t="shared" ca="1" si="27"/>
        <v>#REF!</v>
      </c>
      <c r="O180" s="1" t="e">
        <f t="shared" ca="1" si="28"/>
        <v>#REF!</v>
      </c>
      <c r="P180" s="1" t="e">
        <f t="shared" ca="1" si="29"/>
        <v>#REF!</v>
      </c>
    </row>
    <row r="181" spans="1:16">
      <c r="A181" s="7"/>
      <c r="C181" s="2" t="s">
        <v>1098</v>
      </c>
      <c r="D181" s="7">
        <f t="shared" ca="1" si="20"/>
        <v>1</v>
      </c>
      <c r="E181" s="7" t="e">
        <f t="shared" ca="1" si="21"/>
        <v>#REF!</v>
      </c>
      <c r="F181" s="7" t="e">
        <f t="shared" ca="1" si="22"/>
        <v>#REF!</v>
      </c>
      <c r="G181" s="7" t="e">
        <f t="shared" ca="1" si="23"/>
        <v>#REF!</v>
      </c>
      <c r="H181" s="7"/>
      <c r="I181" s="7"/>
      <c r="J181" s="1" t="s">
        <v>1356</v>
      </c>
      <c r="K181" s="6" t="e">
        <f t="shared" ca="1" si="25"/>
        <v>#REF!</v>
      </c>
      <c r="L181" s="6" t="e">
        <f t="shared" ca="1" si="24"/>
        <v>#REF!</v>
      </c>
      <c r="M181" s="1" t="e">
        <f t="shared" ca="1" si="26"/>
        <v>#REF!</v>
      </c>
      <c r="N181" s="1" t="e">
        <f t="shared" ca="1" si="27"/>
        <v>#REF!</v>
      </c>
      <c r="O181" s="1" t="e">
        <f t="shared" ca="1" si="28"/>
        <v>#REF!</v>
      </c>
      <c r="P181" s="1" t="e">
        <f t="shared" ca="1" si="29"/>
        <v>#REF!</v>
      </c>
    </row>
    <row r="182" spans="1:16">
      <c r="A182" s="7"/>
      <c r="C182" s="2" t="s">
        <v>1103</v>
      </c>
      <c r="D182" s="7">
        <f t="shared" ca="1" si="20"/>
        <v>1</v>
      </c>
      <c r="E182" s="7" t="e">
        <f t="shared" ca="1" si="21"/>
        <v>#REF!</v>
      </c>
      <c r="F182" s="7" t="e">
        <f t="shared" ca="1" si="22"/>
        <v>#REF!</v>
      </c>
      <c r="G182" s="7" t="e">
        <f t="shared" ca="1" si="23"/>
        <v>#REF!</v>
      </c>
      <c r="H182" s="7"/>
      <c r="I182" s="7"/>
      <c r="J182" s="1" t="s">
        <v>1356</v>
      </c>
      <c r="K182" s="6" t="e">
        <f t="shared" ca="1" si="25"/>
        <v>#REF!</v>
      </c>
      <c r="L182" s="6" t="e">
        <f t="shared" ca="1" si="24"/>
        <v>#REF!</v>
      </c>
      <c r="M182" s="1" t="e">
        <f t="shared" ca="1" si="26"/>
        <v>#REF!</v>
      </c>
      <c r="N182" s="1" t="e">
        <f t="shared" ca="1" si="27"/>
        <v>#REF!</v>
      </c>
      <c r="O182" s="1" t="e">
        <f t="shared" ca="1" si="28"/>
        <v>#REF!</v>
      </c>
      <c r="P182" s="1" t="e">
        <f t="shared" ca="1" si="29"/>
        <v>#REF!</v>
      </c>
    </row>
    <row r="183" spans="1:16">
      <c r="A183" s="7"/>
      <c r="C183" s="2" t="s">
        <v>1112</v>
      </c>
      <c r="D183" s="7">
        <f t="shared" ca="1" si="20"/>
        <v>1</v>
      </c>
      <c r="E183" s="7" t="e">
        <f t="shared" ca="1" si="21"/>
        <v>#REF!</v>
      </c>
      <c r="F183" s="7" t="e">
        <f t="shared" ca="1" si="22"/>
        <v>#REF!</v>
      </c>
      <c r="G183" s="7" t="e">
        <f t="shared" ca="1" si="23"/>
        <v>#REF!</v>
      </c>
      <c r="H183" s="7"/>
      <c r="I183" s="7"/>
      <c r="J183" s="1" t="s">
        <v>1356</v>
      </c>
      <c r="K183" s="6" t="e">
        <f t="shared" ca="1" si="25"/>
        <v>#REF!</v>
      </c>
      <c r="L183" s="6" t="e">
        <f t="shared" ca="1" si="24"/>
        <v>#REF!</v>
      </c>
      <c r="M183" s="1" t="e">
        <f t="shared" ca="1" si="26"/>
        <v>#REF!</v>
      </c>
      <c r="N183" s="1" t="e">
        <f t="shared" ca="1" si="27"/>
        <v>#REF!</v>
      </c>
      <c r="O183" s="1" t="e">
        <f t="shared" ca="1" si="28"/>
        <v>#REF!</v>
      </c>
      <c r="P183" s="1" t="e">
        <f t="shared" ca="1" si="29"/>
        <v>#REF!</v>
      </c>
    </row>
    <row r="184" spans="1:16">
      <c r="A184" s="7"/>
      <c r="C184" s="2" t="s">
        <v>1113</v>
      </c>
      <c r="D184" s="7">
        <f t="shared" ca="1" si="20"/>
        <v>1</v>
      </c>
      <c r="E184" s="7" t="e">
        <f t="shared" ca="1" si="21"/>
        <v>#REF!</v>
      </c>
      <c r="F184" s="7" t="e">
        <f t="shared" ca="1" si="22"/>
        <v>#REF!</v>
      </c>
      <c r="G184" s="7" t="e">
        <f t="shared" ca="1" si="23"/>
        <v>#REF!</v>
      </c>
      <c r="H184" s="7"/>
      <c r="I184" s="7"/>
      <c r="J184" s="1" t="s">
        <v>1356</v>
      </c>
      <c r="K184" s="6" t="e">
        <f t="shared" ca="1" si="25"/>
        <v>#REF!</v>
      </c>
      <c r="L184" s="6" t="e">
        <f t="shared" ca="1" si="24"/>
        <v>#REF!</v>
      </c>
      <c r="M184" s="1" t="e">
        <f t="shared" ca="1" si="26"/>
        <v>#REF!</v>
      </c>
      <c r="N184" s="1" t="e">
        <f t="shared" ca="1" si="27"/>
        <v>#REF!</v>
      </c>
      <c r="O184" s="1" t="e">
        <f t="shared" ca="1" si="28"/>
        <v>#REF!</v>
      </c>
      <c r="P184" s="1" t="e">
        <f t="shared" ca="1" si="29"/>
        <v>#REF!</v>
      </c>
    </row>
    <row r="185" spans="1:16">
      <c r="A185" s="7"/>
      <c r="C185" s="2" t="s">
        <v>1114</v>
      </c>
      <c r="D185" s="7">
        <f t="shared" ca="1" si="20"/>
        <v>1</v>
      </c>
      <c r="E185" s="7" t="e">
        <f t="shared" ca="1" si="21"/>
        <v>#REF!</v>
      </c>
      <c r="F185" s="7" t="e">
        <f t="shared" ca="1" si="22"/>
        <v>#REF!</v>
      </c>
      <c r="G185" s="7" t="e">
        <f t="shared" ca="1" si="23"/>
        <v>#REF!</v>
      </c>
      <c r="H185" s="7"/>
      <c r="I185" s="7"/>
      <c r="J185" s="1" t="s">
        <v>1356</v>
      </c>
      <c r="K185" s="6" t="e">
        <f t="shared" ca="1" si="25"/>
        <v>#REF!</v>
      </c>
      <c r="L185" s="6" t="e">
        <f t="shared" ca="1" si="24"/>
        <v>#REF!</v>
      </c>
      <c r="M185" s="1" t="e">
        <f t="shared" ca="1" si="26"/>
        <v>#REF!</v>
      </c>
      <c r="N185" s="1" t="e">
        <f t="shared" ca="1" si="27"/>
        <v>#REF!</v>
      </c>
      <c r="O185" s="1" t="e">
        <f t="shared" ca="1" si="28"/>
        <v>#REF!</v>
      </c>
      <c r="P185" s="1" t="e">
        <f t="shared" ca="1" si="29"/>
        <v>#REF!</v>
      </c>
    </row>
    <row r="186" spans="1:16">
      <c r="A186" s="7"/>
      <c r="C186" s="2" t="s">
        <v>1116</v>
      </c>
      <c r="D186" s="7">
        <f t="shared" ca="1" si="20"/>
        <v>1</v>
      </c>
      <c r="E186" s="7" t="e">
        <f t="shared" ca="1" si="21"/>
        <v>#REF!</v>
      </c>
      <c r="F186" s="7" t="e">
        <f t="shared" ca="1" si="22"/>
        <v>#REF!</v>
      </c>
      <c r="G186" s="7" t="e">
        <f t="shared" ca="1" si="23"/>
        <v>#REF!</v>
      </c>
      <c r="H186" s="7"/>
      <c r="I186" s="7"/>
      <c r="J186" s="1" t="s">
        <v>1356</v>
      </c>
      <c r="K186" s="6" t="e">
        <f t="shared" ca="1" si="25"/>
        <v>#REF!</v>
      </c>
      <c r="L186" s="6" t="e">
        <f t="shared" ca="1" si="24"/>
        <v>#REF!</v>
      </c>
      <c r="M186" s="1" t="e">
        <f t="shared" ca="1" si="26"/>
        <v>#REF!</v>
      </c>
      <c r="N186" s="1" t="e">
        <f t="shared" ca="1" si="27"/>
        <v>#REF!</v>
      </c>
      <c r="O186" s="1" t="e">
        <f t="shared" ca="1" si="28"/>
        <v>#REF!</v>
      </c>
      <c r="P186" s="1" t="e">
        <f t="shared" ca="1" si="29"/>
        <v>#REF!</v>
      </c>
    </row>
    <row r="187" spans="1:16">
      <c r="A187" s="7"/>
      <c r="C187" s="2" t="s">
        <v>1119</v>
      </c>
      <c r="D187" s="7">
        <f t="shared" ca="1" si="20"/>
        <v>1</v>
      </c>
      <c r="E187" s="7" t="e">
        <f t="shared" ca="1" si="21"/>
        <v>#REF!</v>
      </c>
      <c r="F187" s="7" t="e">
        <f t="shared" ca="1" si="22"/>
        <v>#REF!</v>
      </c>
      <c r="G187" s="7" t="e">
        <f t="shared" ca="1" si="23"/>
        <v>#REF!</v>
      </c>
      <c r="H187" s="7"/>
      <c r="I187" s="7"/>
      <c r="J187" s="1" t="s">
        <v>1356</v>
      </c>
      <c r="K187" s="6" t="e">
        <f t="shared" ca="1" si="25"/>
        <v>#REF!</v>
      </c>
      <c r="L187" s="6" t="e">
        <f t="shared" ca="1" si="24"/>
        <v>#REF!</v>
      </c>
      <c r="M187" s="1" t="e">
        <f t="shared" ca="1" si="26"/>
        <v>#REF!</v>
      </c>
      <c r="N187" s="1" t="e">
        <f t="shared" ca="1" si="27"/>
        <v>#REF!</v>
      </c>
      <c r="O187" s="1" t="e">
        <f t="shared" ca="1" si="28"/>
        <v>#REF!</v>
      </c>
      <c r="P187" s="1" t="e">
        <f t="shared" ca="1" si="29"/>
        <v>#REF!</v>
      </c>
    </row>
    <row r="188" spans="1:16">
      <c r="A188" s="7"/>
      <c r="C188" s="2" t="s">
        <v>1122</v>
      </c>
      <c r="D188" s="7">
        <f t="shared" ca="1" si="20"/>
        <v>1</v>
      </c>
      <c r="E188" s="7" t="e">
        <f t="shared" ca="1" si="21"/>
        <v>#REF!</v>
      </c>
      <c r="F188" s="7" t="e">
        <f t="shared" ca="1" si="22"/>
        <v>#REF!</v>
      </c>
      <c r="G188" s="7" t="e">
        <f t="shared" ca="1" si="23"/>
        <v>#REF!</v>
      </c>
      <c r="H188" s="7"/>
      <c r="I188" s="7"/>
      <c r="J188" s="1" t="s">
        <v>1356</v>
      </c>
      <c r="K188" s="6" t="e">
        <f t="shared" ca="1" si="25"/>
        <v>#REF!</v>
      </c>
      <c r="L188" s="6" t="e">
        <f t="shared" ca="1" si="24"/>
        <v>#REF!</v>
      </c>
      <c r="M188" s="1" t="e">
        <f t="shared" ca="1" si="26"/>
        <v>#REF!</v>
      </c>
      <c r="N188" s="1" t="e">
        <f t="shared" ca="1" si="27"/>
        <v>#REF!</v>
      </c>
      <c r="O188" s="1" t="e">
        <f t="shared" ca="1" si="28"/>
        <v>#REF!</v>
      </c>
      <c r="P188" s="1" t="e">
        <f t="shared" ca="1" si="29"/>
        <v>#REF!</v>
      </c>
    </row>
    <row r="189" spans="1:16">
      <c r="A189" s="7"/>
      <c r="C189" s="2" t="s">
        <v>1124</v>
      </c>
      <c r="D189" s="7">
        <f t="shared" ca="1" si="20"/>
        <v>1</v>
      </c>
      <c r="E189" s="7" t="e">
        <f t="shared" ca="1" si="21"/>
        <v>#REF!</v>
      </c>
      <c r="F189" s="7" t="e">
        <f t="shared" ca="1" si="22"/>
        <v>#REF!</v>
      </c>
      <c r="G189" s="7" t="e">
        <f t="shared" ca="1" si="23"/>
        <v>#REF!</v>
      </c>
      <c r="H189" s="7"/>
      <c r="I189" s="7"/>
      <c r="J189" s="1" t="s">
        <v>1356</v>
      </c>
      <c r="K189" s="6" t="e">
        <f t="shared" ca="1" si="25"/>
        <v>#REF!</v>
      </c>
      <c r="L189" s="6" t="e">
        <f t="shared" ca="1" si="24"/>
        <v>#REF!</v>
      </c>
      <c r="M189" s="1" t="e">
        <f t="shared" ca="1" si="26"/>
        <v>#REF!</v>
      </c>
      <c r="N189" s="1" t="e">
        <f t="shared" ca="1" si="27"/>
        <v>#REF!</v>
      </c>
      <c r="O189" s="1" t="e">
        <f t="shared" ca="1" si="28"/>
        <v>#REF!</v>
      </c>
      <c r="P189" s="1" t="e">
        <f t="shared" ca="1" si="29"/>
        <v>#REF!</v>
      </c>
    </row>
    <row r="190" spans="1:16">
      <c r="A190" s="7"/>
      <c r="C190" s="2" t="s">
        <v>1126</v>
      </c>
      <c r="D190" s="7">
        <f t="shared" ca="1" si="20"/>
        <v>1</v>
      </c>
      <c r="E190" s="7" t="e">
        <f t="shared" ca="1" si="21"/>
        <v>#REF!</v>
      </c>
      <c r="F190" s="7" t="e">
        <f t="shared" ca="1" si="22"/>
        <v>#REF!</v>
      </c>
      <c r="G190" s="7" t="e">
        <f t="shared" ca="1" si="23"/>
        <v>#REF!</v>
      </c>
      <c r="H190" s="7"/>
      <c r="I190" s="7"/>
      <c r="J190" s="1" t="s">
        <v>1356</v>
      </c>
      <c r="K190" s="6" t="e">
        <f t="shared" ca="1" si="25"/>
        <v>#REF!</v>
      </c>
      <c r="L190" s="6" t="e">
        <f t="shared" ca="1" si="24"/>
        <v>#REF!</v>
      </c>
      <c r="M190" s="1" t="e">
        <f t="shared" ca="1" si="26"/>
        <v>#REF!</v>
      </c>
      <c r="N190" s="1" t="e">
        <f t="shared" ca="1" si="27"/>
        <v>#REF!</v>
      </c>
      <c r="O190" s="1" t="e">
        <f t="shared" ca="1" si="28"/>
        <v>#REF!</v>
      </c>
      <c r="P190" s="1" t="e">
        <f t="shared" ca="1" si="29"/>
        <v>#REF!</v>
      </c>
    </row>
    <row r="191" spans="1:16">
      <c r="A191" s="7"/>
      <c r="C191" s="2" t="s">
        <v>4258</v>
      </c>
      <c r="D191" s="7">
        <f t="shared" ca="1" si="20"/>
        <v>1</v>
      </c>
      <c r="E191" s="7" t="e">
        <f t="shared" ca="1" si="21"/>
        <v>#REF!</v>
      </c>
      <c r="F191" s="7" t="e">
        <f t="shared" ca="1" si="22"/>
        <v>#REF!</v>
      </c>
      <c r="G191" s="7" t="e">
        <f t="shared" ca="1" si="23"/>
        <v>#REF!</v>
      </c>
      <c r="H191" s="7"/>
      <c r="I191" s="7"/>
      <c r="J191" s="1" t="s">
        <v>1356</v>
      </c>
      <c r="K191" s="6" t="e">
        <f t="shared" ca="1" si="25"/>
        <v>#REF!</v>
      </c>
      <c r="L191" s="6" t="e">
        <f t="shared" ca="1" si="24"/>
        <v>#REF!</v>
      </c>
      <c r="M191" s="1" t="e">
        <f t="shared" ca="1" si="26"/>
        <v>#REF!</v>
      </c>
      <c r="N191" s="1" t="e">
        <f t="shared" ca="1" si="27"/>
        <v>#REF!</v>
      </c>
      <c r="O191" s="1" t="e">
        <f t="shared" ca="1" si="28"/>
        <v>#REF!</v>
      </c>
      <c r="P191" s="1" t="e">
        <f t="shared" ca="1" si="29"/>
        <v>#REF!</v>
      </c>
    </row>
    <row r="192" spans="1:16">
      <c r="A192" s="7"/>
      <c r="B192" s="2" t="s">
        <v>4259</v>
      </c>
      <c r="C192" s="2" t="s">
        <v>554</v>
      </c>
      <c r="D192" s="7"/>
      <c r="E192" s="7"/>
      <c r="F192" s="7"/>
      <c r="G192" s="7"/>
      <c r="H192" s="7"/>
      <c r="I192" s="7"/>
      <c r="J192" s="1" t="s">
        <v>1356</v>
      </c>
      <c r="K192" s="6" t="e">
        <f t="shared" ca="1" si="25"/>
        <v>#REF!</v>
      </c>
      <c r="L192" s="6" t="e">
        <f t="shared" ca="1" si="24"/>
        <v>#REF!</v>
      </c>
      <c r="M192" s="1" t="e">
        <f t="shared" ca="1" si="26"/>
        <v>#REF!</v>
      </c>
      <c r="N192" s="1" t="e">
        <f t="shared" ca="1" si="27"/>
        <v>#REF!</v>
      </c>
      <c r="O192" s="1" t="e">
        <f t="shared" ca="1" si="28"/>
        <v>#REF!</v>
      </c>
      <c r="P192" s="1" t="e">
        <f t="shared" ca="1" si="29"/>
        <v>#REF!</v>
      </c>
    </row>
    <row r="193" spans="1:16">
      <c r="A193" s="7"/>
      <c r="C193" s="2" t="s">
        <v>555</v>
      </c>
      <c r="D193" s="7"/>
      <c r="E193" s="7"/>
      <c r="F193" s="7"/>
      <c r="G193" s="7"/>
      <c r="H193" s="7"/>
      <c r="I193" s="7"/>
      <c r="J193" s="1" t="s">
        <v>1356</v>
      </c>
      <c r="K193" s="6" t="e">
        <f t="shared" ca="1" si="25"/>
        <v>#REF!</v>
      </c>
      <c r="L193" s="6" t="e">
        <f t="shared" ca="1" si="24"/>
        <v>#REF!</v>
      </c>
      <c r="M193" s="1" t="e">
        <f t="shared" ca="1" si="26"/>
        <v>#REF!</v>
      </c>
      <c r="N193" s="1" t="e">
        <f t="shared" ca="1" si="27"/>
        <v>#REF!</v>
      </c>
      <c r="O193" s="1" t="e">
        <f t="shared" ca="1" si="28"/>
        <v>#REF!</v>
      </c>
      <c r="P193" s="1" t="e">
        <f t="shared" ca="1" si="29"/>
        <v>#REF!</v>
      </c>
    </row>
    <row r="194" spans="1:16">
      <c r="A194" s="7"/>
      <c r="C194" s="9" t="s">
        <v>4260</v>
      </c>
      <c r="D194" s="7"/>
      <c r="E194" s="7"/>
      <c r="F194" s="7"/>
      <c r="G194" s="7"/>
      <c r="H194" s="7"/>
      <c r="I194" s="7"/>
      <c r="J194" s="1" t="s">
        <v>1356</v>
      </c>
      <c r="K194" s="6" t="e">
        <f t="shared" ca="1" si="25"/>
        <v>#REF!</v>
      </c>
      <c r="L194" s="6" t="e">
        <f t="shared" ca="1" si="24"/>
        <v>#REF!</v>
      </c>
      <c r="M194" s="1" t="e">
        <f t="shared" ca="1" si="26"/>
        <v>#REF!</v>
      </c>
      <c r="N194" s="1" t="e">
        <f t="shared" ca="1" si="27"/>
        <v>#REF!</v>
      </c>
      <c r="O194" s="1" t="e">
        <f t="shared" ca="1" si="28"/>
        <v>#REF!</v>
      </c>
      <c r="P194" s="1" t="e">
        <f t="shared" ca="1" si="29"/>
        <v>#REF!</v>
      </c>
    </row>
    <row r="195" spans="1:16">
      <c r="A195" s="7"/>
      <c r="C195" s="2" t="s">
        <v>4261</v>
      </c>
      <c r="D195" s="7"/>
      <c r="E195" s="7"/>
      <c r="F195" s="7"/>
      <c r="G195" s="7"/>
      <c r="H195" s="7"/>
      <c r="I195" s="7"/>
      <c r="J195" s="1" t="s">
        <v>1356</v>
      </c>
      <c r="K195" s="6" t="e">
        <f t="shared" ca="1" si="25"/>
        <v>#REF!</v>
      </c>
      <c r="L195" s="6" t="e">
        <f t="shared" ca="1" si="24"/>
        <v>#REF!</v>
      </c>
      <c r="M195" s="1" t="e">
        <f t="shared" ca="1" si="26"/>
        <v>#REF!</v>
      </c>
      <c r="N195" s="1" t="e">
        <f t="shared" ca="1" si="27"/>
        <v>#REF!</v>
      </c>
      <c r="O195" s="1" t="e">
        <f t="shared" ca="1" si="28"/>
        <v>#REF!</v>
      </c>
      <c r="P195" s="1" t="e">
        <f t="shared" ca="1" si="29"/>
        <v>#REF!</v>
      </c>
    </row>
    <row r="196" spans="1:16">
      <c r="A196" s="7"/>
      <c r="C196" s="2" t="s">
        <v>556</v>
      </c>
      <c r="D196" s="7"/>
      <c r="E196" s="7"/>
      <c r="F196" s="7"/>
      <c r="G196" s="7"/>
      <c r="H196" s="7"/>
      <c r="I196" s="7"/>
      <c r="J196" s="1" t="s">
        <v>1356</v>
      </c>
      <c r="K196" s="6" t="e">
        <f t="shared" ca="1" si="25"/>
        <v>#REF!</v>
      </c>
      <c r="L196" s="6" t="e">
        <f t="shared" ca="1" si="24"/>
        <v>#REF!</v>
      </c>
      <c r="M196" s="1" t="e">
        <f t="shared" ca="1" si="26"/>
        <v>#REF!</v>
      </c>
      <c r="N196" s="1" t="e">
        <f t="shared" ca="1" si="27"/>
        <v>#REF!</v>
      </c>
      <c r="O196" s="1" t="e">
        <f t="shared" ca="1" si="28"/>
        <v>#REF!</v>
      </c>
      <c r="P196" s="1" t="e">
        <f t="shared" ca="1" si="29"/>
        <v>#REF!</v>
      </c>
    </row>
    <row r="197" spans="1:16">
      <c r="A197" s="7"/>
      <c r="C197" s="2" t="s">
        <v>4262</v>
      </c>
      <c r="D197" s="7"/>
      <c r="E197" s="7"/>
      <c r="F197" s="7"/>
      <c r="G197" s="7"/>
      <c r="H197" s="7"/>
      <c r="I197" s="7"/>
      <c r="J197" s="1" t="s">
        <v>1356</v>
      </c>
      <c r="K197" s="6" t="e">
        <f t="shared" ca="1" si="25"/>
        <v>#REF!</v>
      </c>
      <c r="L197" s="6" t="e">
        <f t="shared" ca="1" si="24"/>
        <v>#REF!</v>
      </c>
      <c r="M197" s="1" t="e">
        <f t="shared" ca="1" si="26"/>
        <v>#REF!</v>
      </c>
      <c r="N197" s="1" t="e">
        <f t="shared" ca="1" si="27"/>
        <v>#REF!</v>
      </c>
      <c r="O197" s="1" t="e">
        <f t="shared" ca="1" si="28"/>
        <v>#REF!</v>
      </c>
      <c r="P197" s="1" t="e">
        <f t="shared" ca="1" si="29"/>
        <v>#REF!</v>
      </c>
    </row>
    <row r="198" spans="1:16">
      <c r="A198" s="7"/>
      <c r="C198" s="2" t="s">
        <v>4263</v>
      </c>
      <c r="D198" s="7"/>
      <c r="E198" s="7"/>
      <c r="F198" s="7"/>
      <c r="G198" s="7"/>
      <c r="H198" s="7"/>
      <c r="I198" s="7"/>
      <c r="J198" s="1" t="s">
        <v>1356</v>
      </c>
      <c r="K198" s="6" t="e">
        <f t="shared" ca="1" si="25"/>
        <v>#REF!</v>
      </c>
      <c r="L198" s="6" t="e">
        <f t="shared" ca="1" si="24"/>
        <v>#REF!</v>
      </c>
      <c r="M198" s="1" t="e">
        <f t="shared" ca="1" si="26"/>
        <v>#REF!</v>
      </c>
      <c r="N198" s="1" t="e">
        <f t="shared" ca="1" si="27"/>
        <v>#REF!</v>
      </c>
      <c r="O198" s="1" t="e">
        <f t="shared" ca="1" si="28"/>
        <v>#REF!</v>
      </c>
      <c r="P198" s="1" t="e">
        <f t="shared" ca="1" si="29"/>
        <v>#REF!</v>
      </c>
    </row>
    <row r="199" spans="1:16">
      <c r="A199" s="7"/>
      <c r="B199" s="2" t="s">
        <v>4264</v>
      </c>
      <c r="C199" s="2" t="s">
        <v>4265</v>
      </c>
      <c r="D199" s="7">
        <f t="shared" ref="D199:D261" ca="1" si="30">COUNTA(INDIRECT(CONCATENATE("'",J199,"'!",K199)))</f>
        <v>1</v>
      </c>
      <c r="E199" s="7" t="e">
        <f t="shared" ref="E199:E261" ca="1" si="31">G199+F199</f>
        <v>#REF!</v>
      </c>
      <c r="F199" s="7" t="e">
        <f t="shared" ref="F199:F261" ca="1" si="32">COUNTIF(INDIRECT(CONCATENATE("'",J199,"'!",M199)),"●")+COUNTIFS(INDIRECT(CONCATENATE("'",J199,"'!",M199)),"×",INDIRECT(CONCATENATE("'",J199,"'!",N199)),"●")</f>
        <v>#REF!</v>
      </c>
      <c r="G199" s="7" t="e">
        <f t="shared" ref="G199:G261" ca="1" si="33">COUNTIF(INDIRECT(CONCATENATE("'",J199,"'!",M199)),"×")-COUNTIFS(INDIRECT(CONCATENATE("'",J199,"'!",M199)),"×",INDIRECT(CONCATENATE("'",J199,"'!",N199)),"●")</f>
        <v>#REF!</v>
      </c>
      <c r="H199" s="7"/>
      <c r="I199" s="7"/>
      <c r="J199" s="1" t="s">
        <v>1356</v>
      </c>
      <c r="K199" s="6" t="e">
        <f t="shared" ca="1" si="25"/>
        <v>#REF!</v>
      </c>
      <c r="L199" s="6" t="e">
        <f t="shared" ca="1" si="24"/>
        <v>#REF!</v>
      </c>
      <c r="M199" s="1" t="e">
        <f t="shared" ca="1" si="26"/>
        <v>#REF!</v>
      </c>
      <c r="N199" s="1" t="e">
        <f t="shared" ca="1" si="27"/>
        <v>#REF!</v>
      </c>
      <c r="O199" s="1" t="e">
        <f t="shared" ca="1" si="28"/>
        <v>#REF!</v>
      </c>
      <c r="P199" s="1" t="e">
        <f t="shared" ca="1" si="29"/>
        <v>#REF!</v>
      </c>
    </row>
    <row r="200" spans="1:16">
      <c r="A200" s="7"/>
      <c r="C200" s="2" t="s">
        <v>4266</v>
      </c>
      <c r="D200" s="7">
        <f t="shared" ca="1" si="30"/>
        <v>1</v>
      </c>
      <c r="E200" s="7" t="e">
        <f t="shared" ca="1" si="31"/>
        <v>#REF!</v>
      </c>
      <c r="F200" s="7" t="e">
        <f t="shared" ca="1" si="32"/>
        <v>#REF!</v>
      </c>
      <c r="G200" s="7" t="e">
        <f t="shared" ca="1" si="33"/>
        <v>#REF!</v>
      </c>
      <c r="H200" s="7"/>
      <c r="I200" s="7"/>
      <c r="J200" s="1" t="s">
        <v>1356</v>
      </c>
      <c r="K200" s="6" t="e">
        <f t="shared" ca="1" si="25"/>
        <v>#REF!</v>
      </c>
      <c r="L200" s="6" t="e">
        <f t="shared" ca="1" si="24"/>
        <v>#REF!</v>
      </c>
      <c r="M200" s="1" t="e">
        <f t="shared" ca="1" si="26"/>
        <v>#REF!</v>
      </c>
      <c r="N200" s="1" t="e">
        <f t="shared" ca="1" si="27"/>
        <v>#REF!</v>
      </c>
      <c r="O200" s="1" t="e">
        <f t="shared" ca="1" si="28"/>
        <v>#REF!</v>
      </c>
      <c r="P200" s="1" t="e">
        <f t="shared" ca="1" si="29"/>
        <v>#REF!</v>
      </c>
    </row>
    <row r="201" spans="1:16">
      <c r="A201" s="7"/>
      <c r="C201" s="2" t="s">
        <v>4267</v>
      </c>
      <c r="D201" s="7">
        <f t="shared" ca="1" si="30"/>
        <v>1</v>
      </c>
      <c r="E201" s="7" t="e">
        <f t="shared" ca="1" si="31"/>
        <v>#REF!</v>
      </c>
      <c r="F201" s="7" t="e">
        <f t="shared" ca="1" si="32"/>
        <v>#REF!</v>
      </c>
      <c r="G201" s="7" t="e">
        <f t="shared" ca="1" si="33"/>
        <v>#REF!</v>
      </c>
      <c r="H201" s="7"/>
      <c r="I201" s="7"/>
      <c r="J201" s="1" t="s">
        <v>1356</v>
      </c>
      <c r="K201" s="6" t="e">
        <f t="shared" ca="1" si="25"/>
        <v>#REF!</v>
      </c>
      <c r="L201" s="6" t="e">
        <f t="shared" ca="1" si="24"/>
        <v>#REF!</v>
      </c>
      <c r="M201" s="1" t="e">
        <f t="shared" ca="1" si="26"/>
        <v>#REF!</v>
      </c>
      <c r="N201" s="1" t="e">
        <f t="shared" ca="1" si="27"/>
        <v>#REF!</v>
      </c>
      <c r="O201" s="1" t="e">
        <f t="shared" ca="1" si="28"/>
        <v>#REF!</v>
      </c>
      <c r="P201" s="1" t="e">
        <f t="shared" ca="1" si="29"/>
        <v>#REF!</v>
      </c>
    </row>
    <row r="202" spans="1:16">
      <c r="A202" s="7"/>
      <c r="C202" s="2" t="s">
        <v>979</v>
      </c>
      <c r="D202" s="7">
        <f t="shared" ca="1" si="30"/>
        <v>1</v>
      </c>
      <c r="E202" s="7" t="e">
        <f t="shared" ca="1" si="31"/>
        <v>#REF!</v>
      </c>
      <c r="F202" s="7" t="e">
        <f t="shared" ca="1" si="32"/>
        <v>#REF!</v>
      </c>
      <c r="G202" s="7" t="e">
        <f t="shared" ca="1" si="33"/>
        <v>#REF!</v>
      </c>
      <c r="H202" s="7"/>
      <c r="I202" s="7"/>
      <c r="J202" s="1" t="s">
        <v>1356</v>
      </c>
      <c r="K202" s="6" t="e">
        <f t="shared" ca="1" si="25"/>
        <v>#REF!</v>
      </c>
      <c r="L202" s="6" t="e">
        <f t="shared" ca="1" si="24"/>
        <v>#REF!</v>
      </c>
      <c r="M202" s="1" t="e">
        <f t="shared" ca="1" si="26"/>
        <v>#REF!</v>
      </c>
      <c r="N202" s="1" t="e">
        <f t="shared" ca="1" si="27"/>
        <v>#REF!</v>
      </c>
      <c r="O202" s="1" t="e">
        <f t="shared" ca="1" si="28"/>
        <v>#REF!</v>
      </c>
      <c r="P202" s="1" t="e">
        <f t="shared" ca="1" si="29"/>
        <v>#REF!</v>
      </c>
    </row>
    <row r="203" spans="1:16">
      <c r="A203" s="7"/>
      <c r="C203" s="2" t="s">
        <v>4268</v>
      </c>
      <c r="D203" s="7">
        <f t="shared" ca="1" si="30"/>
        <v>1</v>
      </c>
      <c r="E203" s="7" t="e">
        <f t="shared" ca="1" si="31"/>
        <v>#REF!</v>
      </c>
      <c r="F203" s="7" t="e">
        <f t="shared" ca="1" si="32"/>
        <v>#REF!</v>
      </c>
      <c r="G203" s="7" t="e">
        <f t="shared" ca="1" si="33"/>
        <v>#REF!</v>
      </c>
      <c r="H203" s="7"/>
      <c r="I203" s="7"/>
      <c r="J203" s="1" t="s">
        <v>1356</v>
      </c>
      <c r="K203" s="6" t="e">
        <f t="shared" ca="1" si="25"/>
        <v>#REF!</v>
      </c>
      <c r="L203" s="6" t="e">
        <f t="shared" ca="1" si="24"/>
        <v>#REF!</v>
      </c>
      <c r="M203" s="1" t="e">
        <f t="shared" ca="1" si="26"/>
        <v>#REF!</v>
      </c>
      <c r="N203" s="1" t="e">
        <f t="shared" ca="1" si="27"/>
        <v>#REF!</v>
      </c>
      <c r="O203" s="1" t="e">
        <f t="shared" ca="1" si="28"/>
        <v>#REF!</v>
      </c>
      <c r="P203" s="1" t="e">
        <f t="shared" ca="1" si="29"/>
        <v>#REF!</v>
      </c>
    </row>
    <row r="204" spans="1:16">
      <c r="A204" s="7"/>
      <c r="C204" s="2" t="s">
        <v>4269</v>
      </c>
      <c r="D204" s="7">
        <f t="shared" ca="1" si="30"/>
        <v>1</v>
      </c>
      <c r="E204" s="7" t="e">
        <f t="shared" ca="1" si="31"/>
        <v>#REF!</v>
      </c>
      <c r="F204" s="7" t="e">
        <f t="shared" ca="1" si="32"/>
        <v>#REF!</v>
      </c>
      <c r="G204" s="7" t="e">
        <f t="shared" ca="1" si="33"/>
        <v>#REF!</v>
      </c>
      <c r="H204" s="7"/>
      <c r="I204" s="7"/>
      <c r="J204" s="1" t="s">
        <v>1356</v>
      </c>
      <c r="K204" s="6" t="e">
        <f t="shared" ca="1" si="25"/>
        <v>#REF!</v>
      </c>
      <c r="L204" s="6" t="e">
        <f t="shared" ca="1" si="24"/>
        <v>#REF!</v>
      </c>
      <c r="M204" s="1" t="e">
        <f t="shared" ca="1" si="26"/>
        <v>#REF!</v>
      </c>
      <c r="N204" s="1" t="e">
        <f t="shared" ca="1" si="27"/>
        <v>#REF!</v>
      </c>
      <c r="O204" s="1" t="e">
        <f t="shared" ca="1" si="28"/>
        <v>#REF!</v>
      </c>
      <c r="P204" s="1" t="e">
        <f t="shared" ca="1" si="29"/>
        <v>#REF!</v>
      </c>
    </row>
    <row r="205" spans="1:16">
      <c r="A205" s="7"/>
      <c r="C205" s="2" t="s">
        <v>981</v>
      </c>
      <c r="D205" s="7">
        <f t="shared" ca="1" si="30"/>
        <v>1</v>
      </c>
      <c r="E205" s="7" t="e">
        <f t="shared" ca="1" si="31"/>
        <v>#REF!</v>
      </c>
      <c r="F205" s="7" t="e">
        <f t="shared" ca="1" si="32"/>
        <v>#REF!</v>
      </c>
      <c r="G205" s="7" t="e">
        <f t="shared" ca="1" si="33"/>
        <v>#REF!</v>
      </c>
      <c r="H205" s="7"/>
      <c r="I205" s="7"/>
      <c r="J205" s="1" t="s">
        <v>1356</v>
      </c>
      <c r="K205" s="6" t="e">
        <f t="shared" ca="1" si="25"/>
        <v>#REF!</v>
      </c>
      <c r="L205" s="6" t="e">
        <f t="shared" ca="1" si="24"/>
        <v>#REF!</v>
      </c>
      <c r="M205" s="1" t="e">
        <f t="shared" ca="1" si="26"/>
        <v>#REF!</v>
      </c>
      <c r="N205" s="1" t="e">
        <f t="shared" ca="1" si="27"/>
        <v>#REF!</v>
      </c>
      <c r="O205" s="1" t="e">
        <f t="shared" ca="1" si="28"/>
        <v>#REF!</v>
      </c>
      <c r="P205" s="1" t="e">
        <f t="shared" ca="1" si="29"/>
        <v>#REF!</v>
      </c>
    </row>
    <row r="206" spans="1:16">
      <c r="A206" s="7"/>
      <c r="C206" s="2" t="s">
        <v>4270</v>
      </c>
      <c r="D206" s="7">
        <f t="shared" ca="1" si="30"/>
        <v>1</v>
      </c>
      <c r="E206" s="7" t="e">
        <f t="shared" ca="1" si="31"/>
        <v>#REF!</v>
      </c>
      <c r="F206" s="7" t="e">
        <f t="shared" ca="1" si="32"/>
        <v>#REF!</v>
      </c>
      <c r="G206" s="7" t="e">
        <f t="shared" ca="1" si="33"/>
        <v>#REF!</v>
      </c>
      <c r="H206" s="7"/>
      <c r="I206" s="7"/>
      <c r="J206" s="1" t="s">
        <v>1356</v>
      </c>
      <c r="K206" s="6" t="e">
        <f t="shared" ca="1" si="25"/>
        <v>#REF!</v>
      </c>
      <c r="L206" s="6" t="e">
        <f t="shared" ca="1" si="24"/>
        <v>#REF!</v>
      </c>
      <c r="M206" s="1" t="e">
        <f t="shared" ca="1" si="26"/>
        <v>#REF!</v>
      </c>
      <c r="N206" s="1" t="e">
        <f t="shared" ca="1" si="27"/>
        <v>#REF!</v>
      </c>
      <c r="O206" s="1" t="e">
        <f t="shared" ca="1" si="28"/>
        <v>#REF!</v>
      </c>
      <c r="P206" s="1" t="e">
        <f t="shared" ca="1" si="29"/>
        <v>#REF!</v>
      </c>
    </row>
    <row r="207" spans="1:16">
      <c r="A207" s="7"/>
      <c r="C207" s="2" t="s">
        <v>4271</v>
      </c>
      <c r="D207" s="7">
        <f t="shared" ca="1" si="30"/>
        <v>1</v>
      </c>
      <c r="E207" s="7" t="e">
        <f t="shared" ca="1" si="31"/>
        <v>#REF!</v>
      </c>
      <c r="F207" s="7" t="e">
        <f t="shared" ca="1" si="32"/>
        <v>#REF!</v>
      </c>
      <c r="G207" s="7" t="e">
        <f t="shared" ca="1" si="33"/>
        <v>#REF!</v>
      </c>
      <c r="H207" s="7"/>
      <c r="I207" s="7"/>
      <c r="J207" s="1" t="s">
        <v>1356</v>
      </c>
      <c r="K207" s="6" t="e">
        <f t="shared" ca="1" si="25"/>
        <v>#REF!</v>
      </c>
      <c r="L207" s="6" t="e">
        <f t="shared" ca="1" si="24"/>
        <v>#REF!</v>
      </c>
      <c r="M207" s="1" t="e">
        <f t="shared" ca="1" si="26"/>
        <v>#REF!</v>
      </c>
      <c r="N207" s="1" t="e">
        <f t="shared" ca="1" si="27"/>
        <v>#REF!</v>
      </c>
      <c r="O207" s="1" t="e">
        <f t="shared" ca="1" si="28"/>
        <v>#REF!</v>
      </c>
      <c r="P207" s="1" t="e">
        <f t="shared" ca="1" si="29"/>
        <v>#REF!</v>
      </c>
    </row>
    <row r="208" spans="1:16">
      <c r="A208" s="7"/>
      <c r="C208" s="2" t="s">
        <v>4272</v>
      </c>
      <c r="D208" s="7">
        <f t="shared" ca="1" si="30"/>
        <v>1</v>
      </c>
      <c r="E208" s="7" t="e">
        <f t="shared" ca="1" si="31"/>
        <v>#REF!</v>
      </c>
      <c r="F208" s="7" t="e">
        <f t="shared" ca="1" si="32"/>
        <v>#REF!</v>
      </c>
      <c r="G208" s="7" t="e">
        <f t="shared" ca="1" si="33"/>
        <v>#REF!</v>
      </c>
      <c r="H208" s="7"/>
      <c r="I208" s="7"/>
      <c r="J208" s="1" t="s">
        <v>1356</v>
      </c>
      <c r="K208" s="6" t="e">
        <f t="shared" ca="1" si="25"/>
        <v>#REF!</v>
      </c>
      <c r="L208" s="6" t="e">
        <f t="shared" ca="1" si="24"/>
        <v>#REF!</v>
      </c>
      <c r="M208" s="1" t="e">
        <f t="shared" ca="1" si="26"/>
        <v>#REF!</v>
      </c>
      <c r="N208" s="1" t="e">
        <f t="shared" ca="1" si="27"/>
        <v>#REF!</v>
      </c>
      <c r="O208" s="1" t="e">
        <f t="shared" ca="1" si="28"/>
        <v>#REF!</v>
      </c>
      <c r="P208" s="1" t="e">
        <f t="shared" ca="1" si="29"/>
        <v>#REF!</v>
      </c>
    </row>
    <row r="209" spans="1:16">
      <c r="A209" s="7"/>
      <c r="C209" s="2" t="s">
        <v>4273</v>
      </c>
      <c r="D209" s="7">
        <f t="shared" ca="1" si="30"/>
        <v>1</v>
      </c>
      <c r="E209" s="7" t="e">
        <f t="shared" ca="1" si="31"/>
        <v>#REF!</v>
      </c>
      <c r="F209" s="7" t="e">
        <f t="shared" ca="1" si="32"/>
        <v>#REF!</v>
      </c>
      <c r="G209" s="7" t="e">
        <f t="shared" ca="1" si="33"/>
        <v>#REF!</v>
      </c>
      <c r="H209" s="7"/>
      <c r="I209" s="7"/>
      <c r="J209" s="1" t="s">
        <v>1356</v>
      </c>
      <c r="K209" s="6" t="e">
        <f t="shared" ca="1" si="25"/>
        <v>#REF!</v>
      </c>
      <c r="L209" s="6" t="e">
        <f t="shared" ref="L209:L271" ca="1" si="34">CONCATENATE("$",IF(K209=$J$3,$L$3,$L$4),"$",O209,":","$",IF(K209=$J$3,$L$3,$L$4),"$",P209)</f>
        <v>#REF!</v>
      </c>
      <c r="M209" s="1" t="e">
        <f t="shared" ca="1" si="26"/>
        <v>#REF!</v>
      </c>
      <c r="N209" s="1" t="e">
        <f t="shared" ca="1" si="27"/>
        <v>#REF!</v>
      </c>
      <c r="O209" s="1" t="e">
        <f t="shared" ca="1" si="28"/>
        <v>#REF!</v>
      </c>
      <c r="P209" s="1" t="e">
        <f t="shared" ca="1" si="29"/>
        <v>#REF!</v>
      </c>
    </row>
    <row r="210" spans="1:16">
      <c r="A210" s="7"/>
      <c r="C210" s="2" t="s">
        <v>4274</v>
      </c>
      <c r="D210" s="7">
        <f t="shared" ca="1" si="30"/>
        <v>1</v>
      </c>
      <c r="E210" s="7" t="e">
        <f t="shared" ca="1" si="31"/>
        <v>#REF!</v>
      </c>
      <c r="F210" s="7" t="e">
        <f t="shared" ca="1" si="32"/>
        <v>#REF!</v>
      </c>
      <c r="G210" s="7" t="e">
        <f t="shared" ca="1" si="33"/>
        <v>#REF!</v>
      </c>
      <c r="H210" s="7"/>
      <c r="I210" s="7"/>
      <c r="J210" s="1" t="s">
        <v>1356</v>
      </c>
      <c r="K210" s="6" t="e">
        <f t="shared" ref="K210:K272" ca="1" si="35">CONCATENATE("$",IF(J210=$J$3,$K$3,$K$4),"$",O210,":","$",IF(J210=$J$3,$K$3,$K$4),"$",P210)</f>
        <v>#REF!</v>
      </c>
      <c r="L210" s="6" t="e">
        <f t="shared" ca="1" si="34"/>
        <v>#REF!</v>
      </c>
      <c r="M210" s="1" t="e">
        <f t="shared" ref="M210:M273" ca="1" si="36">CONCATENATE("$",IF(J210=$J$3,$M$3,$M$4),"$",O210,":","$",IF(J210=$J$3,$M$3,$M$4),"$",P210)</f>
        <v>#REF!</v>
      </c>
      <c r="N210" s="1" t="e">
        <f t="shared" ref="N210:N272" ca="1" si="37">CONCATENATE("$",IF(J210=$J$3,$N$3,$N$4),"$",O210,":","$",IF(J210=$J$3,$N$3,$N$4),"$",P210)</f>
        <v>#REF!</v>
      </c>
      <c r="O210" s="1" t="e">
        <f t="shared" ref="O210:O273" ca="1" si="38">MATCH($C210,INDIRECT(CONCATENATE("'",J210,"'!$D:$D")),0)</f>
        <v>#REF!</v>
      </c>
      <c r="P210" s="1" t="e">
        <f t="shared" ref="P210:P272" ca="1" si="39">MATCH("*",INDIRECT(CONCATENATE("'",$J210,"'!","D",$O210+1,":","D65535"),TRUE),0)+O210-1</f>
        <v>#REF!</v>
      </c>
    </row>
    <row r="211" spans="1:16">
      <c r="A211" s="7"/>
      <c r="C211" s="2" t="s">
        <v>4275</v>
      </c>
      <c r="D211" s="7">
        <f t="shared" ca="1" si="30"/>
        <v>1</v>
      </c>
      <c r="E211" s="7" t="e">
        <f t="shared" ca="1" si="31"/>
        <v>#REF!</v>
      </c>
      <c r="F211" s="7" t="e">
        <f t="shared" ca="1" si="32"/>
        <v>#REF!</v>
      </c>
      <c r="G211" s="7" t="e">
        <f t="shared" ca="1" si="33"/>
        <v>#REF!</v>
      </c>
      <c r="H211" s="7"/>
      <c r="I211" s="7"/>
      <c r="J211" s="1" t="s">
        <v>1356</v>
      </c>
      <c r="K211" s="6" t="e">
        <f t="shared" ca="1" si="35"/>
        <v>#REF!</v>
      </c>
      <c r="L211" s="6" t="e">
        <f t="shared" ca="1" si="34"/>
        <v>#REF!</v>
      </c>
      <c r="M211" s="1" t="e">
        <f t="shared" ca="1" si="36"/>
        <v>#REF!</v>
      </c>
      <c r="N211" s="1" t="e">
        <f t="shared" ca="1" si="37"/>
        <v>#REF!</v>
      </c>
      <c r="O211" s="1" t="e">
        <f t="shared" ca="1" si="38"/>
        <v>#REF!</v>
      </c>
      <c r="P211" s="1" t="e">
        <f t="shared" ca="1" si="39"/>
        <v>#REF!</v>
      </c>
    </row>
    <row r="212" spans="1:16">
      <c r="A212" s="7"/>
      <c r="C212" s="2" t="s">
        <v>1147</v>
      </c>
      <c r="D212" s="7">
        <f t="shared" ca="1" si="30"/>
        <v>1</v>
      </c>
      <c r="E212" s="7" t="e">
        <f t="shared" ca="1" si="31"/>
        <v>#REF!</v>
      </c>
      <c r="F212" s="7" t="e">
        <f t="shared" ca="1" si="32"/>
        <v>#REF!</v>
      </c>
      <c r="G212" s="7" t="e">
        <f t="shared" ca="1" si="33"/>
        <v>#REF!</v>
      </c>
      <c r="H212" s="7"/>
      <c r="I212" s="7"/>
      <c r="J212" s="1" t="s">
        <v>1356</v>
      </c>
      <c r="K212" s="6" t="e">
        <f t="shared" ca="1" si="35"/>
        <v>#REF!</v>
      </c>
      <c r="L212" s="6" t="e">
        <f t="shared" ca="1" si="34"/>
        <v>#REF!</v>
      </c>
      <c r="M212" s="1" t="e">
        <f t="shared" ca="1" si="36"/>
        <v>#REF!</v>
      </c>
      <c r="N212" s="1" t="e">
        <f t="shared" ca="1" si="37"/>
        <v>#REF!</v>
      </c>
      <c r="O212" s="1" t="e">
        <f t="shared" ca="1" si="38"/>
        <v>#REF!</v>
      </c>
      <c r="P212" s="1" t="e">
        <f t="shared" ca="1" si="39"/>
        <v>#REF!</v>
      </c>
    </row>
    <row r="213" spans="1:16">
      <c r="A213" s="7"/>
      <c r="C213" s="2" t="s">
        <v>997</v>
      </c>
      <c r="D213" s="7">
        <f t="shared" ca="1" si="30"/>
        <v>1</v>
      </c>
      <c r="E213" s="7" t="e">
        <f t="shared" ca="1" si="31"/>
        <v>#REF!</v>
      </c>
      <c r="F213" s="7" t="e">
        <f t="shared" ca="1" si="32"/>
        <v>#REF!</v>
      </c>
      <c r="G213" s="7" t="e">
        <f t="shared" ca="1" si="33"/>
        <v>#REF!</v>
      </c>
      <c r="H213" s="7"/>
      <c r="I213" s="7"/>
      <c r="J213" s="1" t="s">
        <v>1356</v>
      </c>
      <c r="K213" s="6" t="e">
        <f t="shared" ca="1" si="35"/>
        <v>#REF!</v>
      </c>
      <c r="L213" s="6" t="e">
        <f t="shared" ca="1" si="34"/>
        <v>#REF!</v>
      </c>
      <c r="M213" s="1" t="e">
        <f t="shared" ca="1" si="36"/>
        <v>#REF!</v>
      </c>
      <c r="N213" s="1" t="e">
        <f t="shared" ca="1" si="37"/>
        <v>#REF!</v>
      </c>
      <c r="O213" s="1" t="e">
        <f t="shared" ca="1" si="38"/>
        <v>#REF!</v>
      </c>
      <c r="P213" s="1" t="e">
        <f t="shared" ca="1" si="39"/>
        <v>#REF!</v>
      </c>
    </row>
    <row r="214" spans="1:16">
      <c r="A214" s="7"/>
      <c r="C214" s="2" t="s">
        <v>4276</v>
      </c>
      <c r="D214" s="7">
        <f t="shared" ca="1" si="30"/>
        <v>1</v>
      </c>
      <c r="E214" s="7" t="e">
        <f t="shared" ca="1" si="31"/>
        <v>#REF!</v>
      </c>
      <c r="F214" s="7" t="e">
        <f t="shared" ca="1" si="32"/>
        <v>#REF!</v>
      </c>
      <c r="G214" s="7" t="e">
        <f t="shared" ca="1" si="33"/>
        <v>#REF!</v>
      </c>
      <c r="H214" s="7"/>
      <c r="I214" s="7"/>
      <c r="J214" s="1" t="s">
        <v>1356</v>
      </c>
      <c r="K214" s="6" t="e">
        <f t="shared" ca="1" si="35"/>
        <v>#REF!</v>
      </c>
      <c r="L214" s="6" t="e">
        <f t="shared" ca="1" si="34"/>
        <v>#REF!</v>
      </c>
      <c r="M214" s="1" t="e">
        <f t="shared" ca="1" si="36"/>
        <v>#REF!</v>
      </c>
      <c r="N214" s="1" t="e">
        <f t="shared" ca="1" si="37"/>
        <v>#REF!</v>
      </c>
      <c r="O214" s="1" t="e">
        <f t="shared" ca="1" si="38"/>
        <v>#REF!</v>
      </c>
      <c r="P214" s="1" t="e">
        <f t="shared" ca="1" si="39"/>
        <v>#REF!</v>
      </c>
    </row>
    <row r="215" spans="1:16">
      <c r="A215" s="7"/>
      <c r="C215" s="2" t="s">
        <v>4277</v>
      </c>
      <c r="D215" s="7">
        <f t="shared" ca="1" si="30"/>
        <v>1</v>
      </c>
      <c r="E215" s="7" t="e">
        <f t="shared" ca="1" si="31"/>
        <v>#REF!</v>
      </c>
      <c r="F215" s="7" t="e">
        <f t="shared" ca="1" si="32"/>
        <v>#REF!</v>
      </c>
      <c r="G215" s="7" t="e">
        <f t="shared" ca="1" si="33"/>
        <v>#REF!</v>
      </c>
      <c r="H215" s="7"/>
      <c r="I215" s="7"/>
      <c r="J215" s="1" t="s">
        <v>1356</v>
      </c>
      <c r="K215" s="6" t="e">
        <f t="shared" ca="1" si="35"/>
        <v>#REF!</v>
      </c>
      <c r="L215" s="6" t="e">
        <f t="shared" ca="1" si="34"/>
        <v>#REF!</v>
      </c>
      <c r="M215" s="1" t="e">
        <f t="shared" ca="1" si="36"/>
        <v>#REF!</v>
      </c>
      <c r="N215" s="1" t="e">
        <f t="shared" ca="1" si="37"/>
        <v>#REF!</v>
      </c>
      <c r="O215" s="1" t="e">
        <f t="shared" ca="1" si="38"/>
        <v>#REF!</v>
      </c>
      <c r="P215" s="1" t="e">
        <f t="shared" ca="1" si="39"/>
        <v>#REF!</v>
      </c>
    </row>
    <row r="216" spans="1:16">
      <c r="A216" s="7"/>
      <c r="B216" s="7"/>
      <c r="C216" s="2" t="s">
        <v>222</v>
      </c>
      <c r="D216" s="7">
        <f t="shared" ca="1" si="30"/>
        <v>1</v>
      </c>
      <c r="E216" s="7" t="e">
        <f t="shared" ca="1" si="31"/>
        <v>#REF!</v>
      </c>
      <c r="F216" s="7" t="e">
        <f t="shared" ca="1" si="32"/>
        <v>#REF!</v>
      </c>
      <c r="G216" s="7" t="e">
        <f t="shared" ca="1" si="33"/>
        <v>#REF!</v>
      </c>
      <c r="H216" s="7"/>
      <c r="I216" s="7"/>
      <c r="J216" s="1" t="s">
        <v>1356</v>
      </c>
      <c r="K216" s="6" t="e">
        <f t="shared" ca="1" si="35"/>
        <v>#REF!</v>
      </c>
      <c r="L216" s="6" t="e">
        <f t="shared" ca="1" si="34"/>
        <v>#REF!</v>
      </c>
      <c r="M216" s="1" t="e">
        <f t="shared" ca="1" si="36"/>
        <v>#REF!</v>
      </c>
      <c r="N216" s="1" t="e">
        <f t="shared" ca="1" si="37"/>
        <v>#REF!</v>
      </c>
      <c r="O216" s="1" t="e">
        <f t="shared" ca="1" si="38"/>
        <v>#REF!</v>
      </c>
      <c r="P216" s="1" t="e">
        <f t="shared" ca="1" si="39"/>
        <v>#REF!</v>
      </c>
    </row>
    <row r="217" spans="1:16">
      <c r="A217" s="7"/>
      <c r="C217" s="2" t="s">
        <v>224</v>
      </c>
      <c r="D217" s="7">
        <f t="shared" ca="1" si="30"/>
        <v>1</v>
      </c>
      <c r="E217" s="7" t="e">
        <f t="shared" ca="1" si="31"/>
        <v>#REF!</v>
      </c>
      <c r="F217" s="7" t="e">
        <f t="shared" ca="1" si="32"/>
        <v>#REF!</v>
      </c>
      <c r="G217" s="7" t="e">
        <f t="shared" ca="1" si="33"/>
        <v>#REF!</v>
      </c>
      <c r="H217" s="7"/>
      <c r="I217" s="7"/>
      <c r="J217" s="1" t="s">
        <v>1356</v>
      </c>
      <c r="K217" s="6" t="e">
        <f t="shared" ca="1" si="35"/>
        <v>#REF!</v>
      </c>
      <c r="L217" s="6" t="e">
        <f t="shared" ca="1" si="34"/>
        <v>#REF!</v>
      </c>
      <c r="M217" s="1" t="e">
        <f t="shared" ca="1" si="36"/>
        <v>#REF!</v>
      </c>
      <c r="N217" s="1" t="e">
        <f t="shared" ca="1" si="37"/>
        <v>#REF!</v>
      </c>
      <c r="O217" s="1" t="e">
        <f t="shared" ca="1" si="38"/>
        <v>#REF!</v>
      </c>
      <c r="P217" s="1" t="e">
        <f t="shared" ca="1" si="39"/>
        <v>#REF!</v>
      </c>
    </row>
    <row r="218" spans="1:16">
      <c r="A218" s="7"/>
      <c r="C218" s="2" t="s">
        <v>226</v>
      </c>
      <c r="D218" s="7">
        <f t="shared" ca="1" si="30"/>
        <v>1</v>
      </c>
      <c r="E218" s="7" t="e">
        <f t="shared" ca="1" si="31"/>
        <v>#REF!</v>
      </c>
      <c r="F218" s="7" t="e">
        <f t="shared" ca="1" si="32"/>
        <v>#REF!</v>
      </c>
      <c r="G218" s="7" t="e">
        <f t="shared" ca="1" si="33"/>
        <v>#REF!</v>
      </c>
      <c r="H218" s="7"/>
      <c r="I218" s="7"/>
      <c r="J218" s="1" t="s">
        <v>1356</v>
      </c>
      <c r="K218" s="6" t="e">
        <f t="shared" ca="1" si="35"/>
        <v>#REF!</v>
      </c>
      <c r="L218" s="6" t="e">
        <f t="shared" ca="1" si="34"/>
        <v>#REF!</v>
      </c>
      <c r="M218" s="1" t="e">
        <f t="shared" ca="1" si="36"/>
        <v>#REF!</v>
      </c>
      <c r="N218" s="1" t="e">
        <f t="shared" ca="1" si="37"/>
        <v>#REF!</v>
      </c>
      <c r="O218" s="1" t="e">
        <f t="shared" ca="1" si="38"/>
        <v>#REF!</v>
      </c>
      <c r="P218" s="1" t="e">
        <f t="shared" ca="1" si="39"/>
        <v>#REF!</v>
      </c>
    </row>
    <row r="219" spans="1:16">
      <c r="A219" s="7"/>
      <c r="C219" s="2" t="s">
        <v>4278</v>
      </c>
      <c r="D219" s="7">
        <f t="shared" ca="1" si="30"/>
        <v>1</v>
      </c>
      <c r="E219" s="7" t="e">
        <f t="shared" ca="1" si="31"/>
        <v>#REF!</v>
      </c>
      <c r="F219" s="7" t="e">
        <f t="shared" ca="1" si="32"/>
        <v>#REF!</v>
      </c>
      <c r="G219" s="7" t="e">
        <f t="shared" ca="1" si="33"/>
        <v>#REF!</v>
      </c>
      <c r="H219" s="7"/>
      <c r="I219" s="7"/>
      <c r="J219" s="1" t="s">
        <v>1356</v>
      </c>
      <c r="K219" s="6" t="e">
        <f t="shared" ca="1" si="35"/>
        <v>#REF!</v>
      </c>
      <c r="L219" s="6" t="e">
        <f t="shared" ca="1" si="34"/>
        <v>#REF!</v>
      </c>
      <c r="M219" s="1" t="e">
        <f t="shared" ca="1" si="36"/>
        <v>#REF!</v>
      </c>
      <c r="N219" s="1" t="e">
        <f t="shared" ca="1" si="37"/>
        <v>#REF!</v>
      </c>
      <c r="O219" s="1" t="e">
        <f t="shared" ca="1" si="38"/>
        <v>#REF!</v>
      </c>
      <c r="P219" s="1" t="e">
        <f t="shared" ca="1" si="39"/>
        <v>#REF!</v>
      </c>
    </row>
    <row r="220" spans="1:16">
      <c r="A220" s="7"/>
      <c r="B220" s="7"/>
      <c r="C220" s="2" t="s">
        <v>232</v>
      </c>
      <c r="D220" s="7">
        <f t="shared" ca="1" si="30"/>
        <v>1</v>
      </c>
      <c r="E220" s="7" t="e">
        <f t="shared" ca="1" si="31"/>
        <v>#REF!</v>
      </c>
      <c r="F220" s="7" t="e">
        <f t="shared" ca="1" si="32"/>
        <v>#REF!</v>
      </c>
      <c r="G220" s="7" t="e">
        <f t="shared" ca="1" si="33"/>
        <v>#REF!</v>
      </c>
      <c r="H220" s="7"/>
      <c r="I220" s="7"/>
      <c r="J220" s="1" t="s">
        <v>1356</v>
      </c>
      <c r="K220" s="6" t="e">
        <f t="shared" ca="1" si="35"/>
        <v>#REF!</v>
      </c>
      <c r="L220" s="6" t="e">
        <f t="shared" ca="1" si="34"/>
        <v>#REF!</v>
      </c>
      <c r="M220" s="1" t="e">
        <f t="shared" ca="1" si="36"/>
        <v>#REF!</v>
      </c>
      <c r="N220" s="1" t="e">
        <f t="shared" ca="1" si="37"/>
        <v>#REF!</v>
      </c>
      <c r="O220" s="1" t="e">
        <f t="shared" ca="1" si="38"/>
        <v>#REF!</v>
      </c>
      <c r="P220" s="1" t="e">
        <f t="shared" ca="1" si="39"/>
        <v>#REF!</v>
      </c>
    </row>
    <row r="221" spans="1:16">
      <c r="A221" s="7"/>
      <c r="B221" s="7"/>
      <c r="C221" s="2" t="s">
        <v>381</v>
      </c>
      <c r="D221" s="7">
        <f t="shared" ca="1" si="30"/>
        <v>1</v>
      </c>
      <c r="E221" s="7" t="e">
        <f t="shared" ca="1" si="31"/>
        <v>#REF!</v>
      </c>
      <c r="F221" s="7" t="e">
        <f t="shared" ca="1" si="32"/>
        <v>#REF!</v>
      </c>
      <c r="G221" s="7" t="e">
        <f t="shared" ca="1" si="33"/>
        <v>#REF!</v>
      </c>
      <c r="H221" s="7"/>
      <c r="I221" s="7"/>
      <c r="J221" s="1" t="s">
        <v>1356</v>
      </c>
      <c r="K221" s="6" t="e">
        <f t="shared" ca="1" si="35"/>
        <v>#REF!</v>
      </c>
      <c r="L221" s="6" t="e">
        <f t="shared" ca="1" si="34"/>
        <v>#REF!</v>
      </c>
      <c r="M221" s="1" t="e">
        <f t="shared" ca="1" si="36"/>
        <v>#REF!</v>
      </c>
      <c r="N221" s="1" t="e">
        <f t="shared" ca="1" si="37"/>
        <v>#REF!</v>
      </c>
      <c r="O221" s="1" t="e">
        <f t="shared" ca="1" si="38"/>
        <v>#REF!</v>
      </c>
      <c r="P221" s="1" t="e">
        <f t="shared" ca="1" si="39"/>
        <v>#REF!</v>
      </c>
    </row>
    <row r="222" spans="1:16">
      <c r="A222" s="7"/>
      <c r="B222" s="7"/>
      <c r="C222" s="2" t="s">
        <v>998</v>
      </c>
      <c r="D222" s="7">
        <f t="shared" ca="1" si="30"/>
        <v>1</v>
      </c>
      <c r="E222" s="7" t="e">
        <f t="shared" ca="1" si="31"/>
        <v>#REF!</v>
      </c>
      <c r="F222" s="7" t="e">
        <f t="shared" ca="1" si="32"/>
        <v>#REF!</v>
      </c>
      <c r="G222" s="7" t="e">
        <f t="shared" ca="1" si="33"/>
        <v>#REF!</v>
      </c>
      <c r="H222" s="7"/>
      <c r="I222" s="7"/>
      <c r="J222" s="1" t="s">
        <v>1356</v>
      </c>
      <c r="K222" s="6" t="e">
        <f t="shared" ca="1" si="35"/>
        <v>#REF!</v>
      </c>
      <c r="L222" s="6" t="e">
        <f t="shared" ca="1" si="34"/>
        <v>#REF!</v>
      </c>
      <c r="M222" s="1" t="e">
        <f t="shared" ca="1" si="36"/>
        <v>#REF!</v>
      </c>
      <c r="N222" s="1" t="e">
        <f t="shared" ca="1" si="37"/>
        <v>#REF!</v>
      </c>
      <c r="O222" s="1" t="e">
        <f t="shared" ca="1" si="38"/>
        <v>#REF!</v>
      </c>
      <c r="P222" s="1" t="e">
        <f t="shared" ca="1" si="39"/>
        <v>#REF!</v>
      </c>
    </row>
    <row r="223" spans="1:16">
      <c r="A223" s="7"/>
      <c r="B223" s="7"/>
      <c r="C223" s="2" t="s">
        <v>4279</v>
      </c>
      <c r="D223" s="7">
        <f t="shared" ca="1" si="30"/>
        <v>1</v>
      </c>
      <c r="E223" s="7" t="e">
        <f t="shared" ca="1" si="31"/>
        <v>#REF!</v>
      </c>
      <c r="F223" s="7" t="e">
        <f t="shared" ca="1" si="32"/>
        <v>#REF!</v>
      </c>
      <c r="G223" s="7" t="e">
        <f t="shared" ca="1" si="33"/>
        <v>#REF!</v>
      </c>
      <c r="H223" s="7"/>
      <c r="I223" s="7"/>
      <c r="J223" s="1" t="s">
        <v>1356</v>
      </c>
      <c r="K223" s="6" t="e">
        <f t="shared" ca="1" si="35"/>
        <v>#REF!</v>
      </c>
      <c r="L223" s="6" t="e">
        <f t="shared" ca="1" si="34"/>
        <v>#REF!</v>
      </c>
      <c r="M223" s="1" t="e">
        <f t="shared" ca="1" si="36"/>
        <v>#REF!</v>
      </c>
      <c r="N223" s="1" t="e">
        <f t="shared" ca="1" si="37"/>
        <v>#REF!</v>
      </c>
      <c r="O223" s="1" t="e">
        <f t="shared" ca="1" si="38"/>
        <v>#REF!</v>
      </c>
      <c r="P223" s="1" t="e">
        <f t="shared" ca="1" si="39"/>
        <v>#REF!</v>
      </c>
    </row>
    <row r="224" spans="1:16">
      <c r="A224" s="7"/>
      <c r="B224" s="7"/>
      <c r="C224" s="2" t="s">
        <v>4280</v>
      </c>
      <c r="D224" s="7">
        <f t="shared" ca="1" si="30"/>
        <v>1</v>
      </c>
      <c r="E224" s="7" t="e">
        <f t="shared" ca="1" si="31"/>
        <v>#REF!</v>
      </c>
      <c r="F224" s="7" t="e">
        <f t="shared" ca="1" si="32"/>
        <v>#REF!</v>
      </c>
      <c r="G224" s="7" t="e">
        <f t="shared" ca="1" si="33"/>
        <v>#REF!</v>
      </c>
      <c r="H224" s="7"/>
      <c r="I224" s="7"/>
      <c r="J224" s="1" t="s">
        <v>1356</v>
      </c>
      <c r="K224" s="6" t="e">
        <f t="shared" ca="1" si="35"/>
        <v>#REF!</v>
      </c>
      <c r="L224" s="6" t="e">
        <f t="shared" ca="1" si="34"/>
        <v>#REF!</v>
      </c>
      <c r="M224" s="1" t="e">
        <f t="shared" ca="1" si="36"/>
        <v>#REF!</v>
      </c>
      <c r="N224" s="1" t="e">
        <f t="shared" ca="1" si="37"/>
        <v>#REF!</v>
      </c>
      <c r="O224" s="1" t="e">
        <f t="shared" ca="1" si="38"/>
        <v>#REF!</v>
      </c>
      <c r="P224" s="1" t="e">
        <f t="shared" ca="1" si="39"/>
        <v>#REF!</v>
      </c>
    </row>
    <row r="225" spans="1:16">
      <c r="A225" s="7"/>
      <c r="C225" s="2" t="s">
        <v>4281</v>
      </c>
      <c r="D225" s="7">
        <f t="shared" ca="1" si="30"/>
        <v>1</v>
      </c>
      <c r="E225" s="7" t="e">
        <f t="shared" ca="1" si="31"/>
        <v>#REF!</v>
      </c>
      <c r="F225" s="7" t="e">
        <f t="shared" ca="1" si="32"/>
        <v>#REF!</v>
      </c>
      <c r="G225" s="7" t="e">
        <f t="shared" ca="1" si="33"/>
        <v>#REF!</v>
      </c>
      <c r="H225" s="7"/>
      <c r="I225" s="7"/>
      <c r="J225" s="1" t="s">
        <v>1356</v>
      </c>
      <c r="K225" s="6" t="e">
        <f t="shared" ca="1" si="35"/>
        <v>#REF!</v>
      </c>
      <c r="L225" s="6" t="e">
        <f t="shared" ca="1" si="34"/>
        <v>#REF!</v>
      </c>
      <c r="M225" s="1" t="e">
        <f t="shared" ca="1" si="36"/>
        <v>#REF!</v>
      </c>
      <c r="N225" s="1" t="e">
        <f t="shared" ca="1" si="37"/>
        <v>#REF!</v>
      </c>
      <c r="O225" s="1" t="e">
        <f t="shared" ca="1" si="38"/>
        <v>#REF!</v>
      </c>
      <c r="P225" s="1" t="e">
        <f t="shared" ca="1" si="39"/>
        <v>#REF!</v>
      </c>
    </row>
    <row r="226" spans="1:16">
      <c r="A226" s="7"/>
      <c r="C226" s="2" t="s">
        <v>4282</v>
      </c>
      <c r="D226" s="7">
        <f t="shared" ca="1" si="30"/>
        <v>1</v>
      </c>
      <c r="E226" s="7" t="e">
        <f t="shared" ca="1" si="31"/>
        <v>#REF!</v>
      </c>
      <c r="F226" s="7" t="e">
        <f t="shared" ca="1" si="32"/>
        <v>#REF!</v>
      </c>
      <c r="G226" s="7" t="e">
        <f t="shared" ca="1" si="33"/>
        <v>#REF!</v>
      </c>
      <c r="H226" s="7"/>
      <c r="I226" s="7"/>
      <c r="J226" s="1" t="s">
        <v>1356</v>
      </c>
      <c r="K226" s="6" t="e">
        <f t="shared" ca="1" si="35"/>
        <v>#REF!</v>
      </c>
      <c r="L226" s="6" t="e">
        <f t="shared" ca="1" si="34"/>
        <v>#REF!</v>
      </c>
      <c r="M226" s="1" t="e">
        <f t="shared" ca="1" si="36"/>
        <v>#REF!</v>
      </c>
      <c r="N226" s="1" t="e">
        <f t="shared" ca="1" si="37"/>
        <v>#REF!</v>
      </c>
      <c r="O226" s="1" t="e">
        <f t="shared" ca="1" si="38"/>
        <v>#REF!</v>
      </c>
      <c r="P226" s="1" t="e">
        <f t="shared" ca="1" si="39"/>
        <v>#REF!</v>
      </c>
    </row>
    <row r="227" spans="1:16">
      <c r="A227" s="7"/>
      <c r="B227" s="7"/>
      <c r="C227" s="2" t="s">
        <v>4283</v>
      </c>
      <c r="D227" s="7">
        <f t="shared" ca="1" si="30"/>
        <v>1</v>
      </c>
      <c r="E227" s="7" t="e">
        <f t="shared" ca="1" si="31"/>
        <v>#REF!</v>
      </c>
      <c r="F227" s="7" t="e">
        <f t="shared" ca="1" si="32"/>
        <v>#REF!</v>
      </c>
      <c r="G227" s="7" t="e">
        <f t="shared" ca="1" si="33"/>
        <v>#REF!</v>
      </c>
      <c r="H227" s="7"/>
      <c r="I227" s="7"/>
      <c r="J227" s="1" t="s">
        <v>1356</v>
      </c>
      <c r="K227" s="6" t="e">
        <f t="shared" ca="1" si="35"/>
        <v>#REF!</v>
      </c>
      <c r="L227" s="6" t="e">
        <f t="shared" ca="1" si="34"/>
        <v>#REF!</v>
      </c>
      <c r="M227" s="1" t="e">
        <f t="shared" ca="1" si="36"/>
        <v>#REF!</v>
      </c>
      <c r="N227" s="1" t="e">
        <f t="shared" ca="1" si="37"/>
        <v>#REF!</v>
      </c>
      <c r="O227" s="1" t="e">
        <f t="shared" ca="1" si="38"/>
        <v>#REF!</v>
      </c>
      <c r="P227" s="1" t="e">
        <f t="shared" ca="1" si="39"/>
        <v>#REF!</v>
      </c>
    </row>
    <row r="228" spans="1:16">
      <c r="A228" s="7"/>
      <c r="B228" s="7"/>
      <c r="C228" s="2" t="s">
        <v>4284</v>
      </c>
      <c r="D228" s="7">
        <f t="shared" ca="1" si="30"/>
        <v>1</v>
      </c>
      <c r="E228" s="7" t="e">
        <f t="shared" ca="1" si="31"/>
        <v>#REF!</v>
      </c>
      <c r="F228" s="7" t="e">
        <f t="shared" ca="1" si="32"/>
        <v>#REF!</v>
      </c>
      <c r="G228" s="7" t="e">
        <f t="shared" ca="1" si="33"/>
        <v>#REF!</v>
      </c>
      <c r="H228" s="7"/>
      <c r="I228" s="7"/>
      <c r="J228" s="1" t="s">
        <v>1356</v>
      </c>
      <c r="K228" s="6" t="e">
        <f t="shared" ca="1" si="35"/>
        <v>#REF!</v>
      </c>
      <c r="L228" s="6" t="e">
        <f t="shared" ca="1" si="34"/>
        <v>#REF!</v>
      </c>
      <c r="M228" s="1" t="e">
        <f t="shared" ca="1" si="36"/>
        <v>#REF!</v>
      </c>
      <c r="N228" s="1" t="e">
        <f t="shared" ca="1" si="37"/>
        <v>#REF!</v>
      </c>
      <c r="O228" s="1" t="e">
        <f t="shared" ca="1" si="38"/>
        <v>#REF!</v>
      </c>
      <c r="P228" s="1" t="e">
        <f t="shared" ca="1" si="39"/>
        <v>#REF!</v>
      </c>
    </row>
    <row r="229" spans="1:16">
      <c r="A229" s="7"/>
      <c r="B229" s="7"/>
      <c r="C229" s="2" t="s">
        <v>4285</v>
      </c>
      <c r="D229" s="7">
        <f t="shared" ca="1" si="30"/>
        <v>1</v>
      </c>
      <c r="E229" s="7" t="e">
        <f t="shared" ca="1" si="31"/>
        <v>#REF!</v>
      </c>
      <c r="F229" s="7" t="e">
        <f t="shared" ca="1" si="32"/>
        <v>#REF!</v>
      </c>
      <c r="G229" s="7" t="e">
        <f t="shared" ca="1" si="33"/>
        <v>#REF!</v>
      </c>
      <c r="H229" s="7"/>
      <c r="I229" s="7"/>
      <c r="J229" s="1" t="s">
        <v>1356</v>
      </c>
      <c r="K229" s="6" t="e">
        <f t="shared" ca="1" si="35"/>
        <v>#REF!</v>
      </c>
      <c r="L229" s="6" t="e">
        <f t="shared" ca="1" si="34"/>
        <v>#REF!</v>
      </c>
      <c r="M229" s="1" t="e">
        <f t="shared" ca="1" si="36"/>
        <v>#REF!</v>
      </c>
      <c r="N229" s="1" t="e">
        <f t="shared" ca="1" si="37"/>
        <v>#REF!</v>
      </c>
      <c r="O229" s="1" t="e">
        <f t="shared" ca="1" si="38"/>
        <v>#REF!</v>
      </c>
      <c r="P229" s="1" t="e">
        <f t="shared" ca="1" si="39"/>
        <v>#REF!</v>
      </c>
    </row>
    <row r="230" spans="1:16">
      <c r="A230" s="7"/>
      <c r="B230" s="7"/>
      <c r="C230" s="2" t="s">
        <v>4286</v>
      </c>
      <c r="D230" s="7">
        <f t="shared" ca="1" si="30"/>
        <v>1</v>
      </c>
      <c r="E230" s="7" t="e">
        <f t="shared" ca="1" si="31"/>
        <v>#REF!</v>
      </c>
      <c r="F230" s="7" t="e">
        <f t="shared" ca="1" si="32"/>
        <v>#REF!</v>
      </c>
      <c r="G230" s="7" t="e">
        <f t="shared" ca="1" si="33"/>
        <v>#REF!</v>
      </c>
      <c r="H230" s="7"/>
      <c r="I230" s="7"/>
      <c r="J230" s="1" t="s">
        <v>1356</v>
      </c>
      <c r="K230" s="6" t="e">
        <f t="shared" ca="1" si="35"/>
        <v>#REF!</v>
      </c>
      <c r="L230" s="6" t="e">
        <f t="shared" ca="1" si="34"/>
        <v>#REF!</v>
      </c>
      <c r="M230" s="1" t="e">
        <f t="shared" ca="1" si="36"/>
        <v>#REF!</v>
      </c>
      <c r="N230" s="1" t="e">
        <f t="shared" ca="1" si="37"/>
        <v>#REF!</v>
      </c>
      <c r="O230" s="1" t="e">
        <f t="shared" ca="1" si="38"/>
        <v>#REF!</v>
      </c>
      <c r="P230" s="1" t="e">
        <f t="shared" ca="1" si="39"/>
        <v>#REF!</v>
      </c>
    </row>
    <row r="231" spans="1:16">
      <c r="A231" s="7"/>
      <c r="B231" s="2" t="s">
        <v>4287</v>
      </c>
      <c r="C231" s="2" t="s">
        <v>1336</v>
      </c>
      <c r="D231" s="7">
        <f t="shared" ca="1" si="30"/>
        <v>1</v>
      </c>
      <c r="E231" s="7" t="e">
        <f t="shared" ca="1" si="31"/>
        <v>#REF!</v>
      </c>
      <c r="F231" s="7" t="e">
        <f t="shared" ca="1" si="32"/>
        <v>#REF!</v>
      </c>
      <c r="G231" s="7" t="e">
        <f t="shared" ca="1" si="33"/>
        <v>#REF!</v>
      </c>
      <c r="H231" s="7"/>
      <c r="I231" s="7"/>
      <c r="J231" s="1" t="s">
        <v>1356</v>
      </c>
      <c r="K231" s="6" t="e">
        <f t="shared" ca="1" si="35"/>
        <v>#REF!</v>
      </c>
      <c r="L231" s="6" t="e">
        <f t="shared" ca="1" si="34"/>
        <v>#REF!</v>
      </c>
      <c r="M231" s="1" t="e">
        <f t="shared" ca="1" si="36"/>
        <v>#REF!</v>
      </c>
      <c r="N231" s="1" t="e">
        <f t="shared" ca="1" si="37"/>
        <v>#REF!</v>
      </c>
      <c r="O231" s="1" t="e">
        <f t="shared" ca="1" si="38"/>
        <v>#REF!</v>
      </c>
      <c r="P231" s="1" t="e">
        <f t="shared" ca="1" si="39"/>
        <v>#REF!</v>
      </c>
    </row>
    <row r="232" spans="1:16">
      <c r="A232" s="7"/>
      <c r="B232" s="7"/>
      <c r="C232" s="2" t="s">
        <v>4288</v>
      </c>
      <c r="D232" s="7">
        <f t="shared" ca="1" si="30"/>
        <v>1</v>
      </c>
      <c r="E232" s="7" t="e">
        <f t="shared" ca="1" si="31"/>
        <v>#REF!</v>
      </c>
      <c r="F232" s="7" t="e">
        <f t="shared" ca="1" si="32"/>
        <v>#REF!</v>
      </c>
      <c r="G232" s="7" t="e">
        <f t="shared" ca="1" si="33"/>
        <v>#REF!</v>
      </c>
      <c r="H232" s="7"/>
      <c r="I232" s="7"/>
      <c r="J232" s="1" t="s">
        <v>1356</v>
      </c>
      <c r="K232" s="6" t="e">
        <f t="shared" ca="1" si="35"/>
        <v>#REF!</v>
      </c>
      <c r="L232" s="6" t="e">
        <f t="shared" ca="1" si="34"/>
        <v>#REF!</v>
      </c>
      <c r="M232" s="1" t="e">
        <f t="shared" ca="1" si="36"/>
        <v>#REF!</v>
      </c>
      <c r="N232" s="1" t="e">
        <f t="shared" ca="1" si="37"/>
        <v>#REF!</v>
      </c>
      <c r="O232" s="1" t="e">
        <f t="shared" ca="1" si="38"/>
        <v>#REF!</v>
      </c>
      <c r="P232" s="1" t="e">
        <f t="shared" ca="1" si="39"/>
        <v>#REF!</v>
      </c>
    </row>
    <row r="233" spans="1:16">
      <c r="A233" s="7"/>
      <c r="B233" s="7"/>
      <c r="C233" s="2" t="s">
        <v>4289</v>
      </c>
      <c r="D233" s="7">
        <f t="shared" ca="1" si="30"/>
        <v>1</v>
      </c>
      <c r="E233" s="7" t="e">
        <f t="shared" ca="1" si="31"/>
        <v>#REF!</v>
      </c>
      <c r="F233" s="7" t="e">
        <f t="shared" ca="1" si="32"/>
        <v>#REF!</v>
      </c>
      <c r="G233" s="7" t="e">
        <f t="shared" ca="1" si="33"/>
        <v>#REF!</v>
      </c>
      <c r="H233" s="7"/>
      <c r="I233" s="7"/>
      <c r="J233" s="1" t="s">
        <v>1356</v>
      </c>
      <c r="K233" s="6" t="e">
        <f t="shared" ca="1" si="35"/>
        <v>#REF!</v>
      </c>
      <c r="L233" s="6" t="e">
        <f t="shared" ca="1" si="34"/>
        <v>#REF!</v>
      </c>
      <c r="M233" s="1" t="e">
        <f t="shared" ca="1" si="36"/>
        <v>#REF!</v>
      </c>
      <c r="N233" s="1" t="e">
        <f t="shared" ca="1" si="37"/>
        <v>#REF!</v>
      </c>
      <c r="O233" s="1" t="e">
        <f t="shared" ca="1" si="38"/>
        <v>#REF!</v>
      </c>
      <c r="P233" s="1" t="e">
        <f t="shared" ca="1" si="39"/>
        <v>#REF!</v>
      </c>
    </row>
    <row r="234" spans="1:16">
      <c r="A234" s="7"/>
      <c r="B234" s="7"/>
      <c r="C234" s="2" t="s">
        <v>4290</v>
      </c>
      <c r="D234" s="7">
        <f t="shared" ca="1" si="30"/>
        <v>1</v>
      </c>
      <c r="E234" s="7" t="e">
        <f t="shared" ca="1" si="31"/>
        <v>#REF!</v>
      </c>
      <c r="F234" s="7" t="e">
        <f t="shared" ca="1" si="32"/>
        <v>#REF!</v>
      </c>
      <c r="G234" s="7" t="e">
        <f t="shared" ca="1" si="33"/>
        <v>#REF!</v>
      </c>
      <c r="H234" s="7"/>
      <c r="I234" s="7"/>
      <c r="J234" s="1" t="s">
        <v>1356</v>
      </c>
      <c r="K234" s="6" t="e">
        <f t="shared" ca="1" si="35"/>
        <v>#REF!</v>
      </c>
      <c r="L234" s="6" t="e">
        <f t="shared" ca="1" si="34"/>
        <v>#REF!</v>
      </c>
      <c r="M234" s="1" t="e">
        <f t="shared" ca="1" si="36"/>
        <v>#REF!</v>
      </c>
      <c r="N234" s="1" t="e">
        <f t="shared" ca="1" si="37"/>
        <v>#REF!</v>
      </c>
      <c r="O234" s="1" t="e">
        <f t="shared" ca="1" si="38"/>
        <v>#REF!</v>
      </c>
      <c r="P234" s="1" t="e">
        <f t="shared" ca="1" si="39"/>
        <v>#REF!</v>
      </c>
    </row>
    <row r="235" spans="1:16">
      <c r="A235" s="7"/>
      <c r="B235" s="7"/>
      <c r="C235" s="2" t="s">
        <v>4291</v>
      </c>
      <c r="D235" s="7">
        <f t="shared" ca="1" si="30"/>
        <v>1</v>
      </c>
      <c r="E235" s="7" t="e">
        <f t="shared" ca="1" si="31"/>
        <v>#REF!</v>
      </c>
      <c r="F235" s="7" t="e">
        <f t="shared" ca="1" si="32"/>
        <v>#REF!</v>
      </c>
      <c r="G235" s="7" t="e">
        <f t="shared" ca="1" si="33"/>
        <v>#REF!</v>
      </c>
      <c r="H235" s="7"/>
      <c r="I235" s="7"/>
      <c r="J235" s="1" t="s">
        <v>1356</v>
      </c>
      <c r="K235" s="6" t="e">
        <f t="shared" ca="1" si="35"/>
        <v>#REF!</v>
      </c>
      <c r="L235" s="6" t="e">
        <f t="shared" ca="1" si="34"/>
        <v>#REF!</v>
      </c>
      <c r="M235" s="1" t="e">
        <f t="shared" ca="1" si="36"/>
        <v>#REF!</v>
      </c>
      <c r="N235" s="1" t="e">
        <f t="shared" ca="1" si="37"/>
        <v>#REF!</v>
      </c>
      <c r="O235" s="1" t="e">
        <f t="shared" ca="1" si="38"/>
        <v>#REF!</v>
      </c>
      <c r="P235" s="1" t="e">
        <f t="shared" ca="1" si="39"/>
        <v>#REF!</v>
      </c>
    </row>
    <row r="236" spans="1:16">
      <c r="A236" s="7"/>
      <c r="B236" s="7"/>
      <c r="C236" s="2" t="s">
        <v>999</v>
      </c>
      <c r="D236" s="7">
        <f t="shared" ca="1" si="30"/>
        <v>1</v>
      </c>
      <c r="E236" s="7" t="e">
        <f t="shared" ca="1" si="31"/>
        <v>#REF!</v>
      </c>
      <c r="F236" s="7" t="e">
        <f t="shared" ca="1" si="32"/>
        <v>#REF!</v>
      </c>
      <c r="G236" s="7" t="e">
        <f t="shared" ca="1" si="33"/>
        <v>#REF!</v>
      </c>
      <c r="H236" s="7"/>
      <c r="I236" s="7"/>
      <c r="J236" s="1" t="s">
        <v>1356</v>
      </c>
      <c r="K236" s="6" t="e">
        <f t="shared" ca="1" si="35"/>
        <v>#REF!</v>
      </c>
      <c r="L236" s="6" t="e">
        <f t="shared" ca="1" si="34"/>
        <v>#REF!</v>
      </c>
      <c r="M236" s="1" t="e">
        <f t="shared" ca="1" si="36"/>
        <v>#REF!</v>
      </c>
      <c r="N236" s="1" t="e">
        <f t="shared" ca="1" si="37"/>
        <v>#REF!</v>
      </c>
      <c r="O236" s="1" t="e">
        <f t="shared" ca="1" si="38"/>
        <v>#REF!</v>
      </c>
      <c r="P236" s="1" t="e">
        <f t="shared" ca="1" si="39"/>
        <v>#REF!</v>
      </c>
    </row>
    <row r="237" spans="1:16">
      <c r="A237" s="7"/>
      <c r="B237" s="7"/>
      <c r="C237" s="2" t="s">
        <v>1000</v>
      </c>
      <c r="D237" s="7">
        <f t="shared" ca="1" si="30"/>
        <v>1</v>
      </c>
      <c r="E237" s="7" t="e">
        <f t="shared" ca="1" si="31"/>
        <v>#REF!</v>
      </c>
      <c r="F237" s="7" t="e">
        <f t="shared" ca="1" si="32"/>
        <v>#REF!</v>
      </c>
      <c r="G237" s="7" t="e">
        <f t="shared" ca="1" si="33"/>
        <v>#REF!</v>
      </c>
      <c r="H237" s="7"/>
      <c r="I237" s="7"/>
      <c r="J237" s="1" t="s">
        <v>1356</v>
      </c>
      <c r="K237" s="6" t="e">
        <f t="shared" ca="1" si="35"/>
        <v>#REF!</v>
      </c>
      <c r="L237" s="6" t="e">
        <f t="shared" ca="1" si="34"/>
        <v>#REF!</v>
      </c>
      <c r="M237" s="1" t="e">
        <f t="shared" ca="1" si="36"/>
        <v>#REF!</v>
      </c>
      <c r="N237" s="1" t="e">
        <f t="shared" ca="1" si="37"/>
        <v>#REF!</v>
      </c>
      <c r="O237" s="1" t="e">
        <f t="shared" ca="1" si="38"/>
        <v>#REF!</v>
      </c>
      <c r="P237" s="1" t="e">
        <f t="shared" ca="1" si="39"/>
        <v>#REF!</v>
      </c>
    </row>
    <row r="238" spans="1:16">
      <c r="A238" s="7"/>
      <c r="B238" s="7"/>
      <c r="C238" s="2" t="s">
        <v>4292</v>
      </c>
      <c r="D238" s="7">
        <f t="shared" ca="1" si="30"/>
        <v>1</v>
      </c>
      <c r="E238" s="7" t="e">
        <f t="shared" ca="1" si="31"/>
        <v>#REF!</v>
      </c>
      <c r="F238" s="7" t="e">
        <f t="shared" ca="1" si="32"/>
        <v>#REF!</v>
      </c>
      <c r="G238" s="7" t="e">
        <f t="shared" ca="1" si="33"/>
        <v>#REF!</v>
      </c>
      <c r="H238" s="7"/>
      <c r="I238" s="7"/>
      <c r="J238" s="1" t="s">
        <v>1356</v>
      </c>
      <c r="K238" s="6" t="e">
        <f t="shared" ca="1" si="35"/>
        <v>#REF!</v>
      </c>
      <c r="L238" s="6" t="e">
        <f t="shared" ca="1" si="34"/>
        <v>#REF!</v>
      </c>
      <c r="M238" s="1" t="e">
        <f t="shared" ca="1" si="36"/>
        <v>#REF!</v>
      </c>
      <c r="N238" s="1" t="e">
        <f t="shared" ca="1" si="37"/>
        <v>#REF!</v>
      </c>
      <c r="O238" s="1" t="e">
        <f t="shared" ca="1" si="38"/>
        <v>#REF!</v>
      </c>
      <c r="P238" s="1" t="e">
        <f t="shared" ca="1" si="39"/>
        <v>#REF!</v>
      </c>
    </row>
    <row r="239" spans="1:16">
      <c r="A239" s="7"/>
      <c r="B239" s="7"/>
      <c r="C239" s="2" t="s">
        <v>1001</v>
      </c>
      <c r="D239" s="7">
        <f t="shared" ca="1" si="30"/>
        <v>1</v>
      </c>
      <c r="E239" s="7" t="e">
        <f t="shared" ca="1" si="31"/>
        <v>#REF!</v>
      </c>
      <c r="F239" s="7" t="e">
        <f t="shared" ca="1" si="32"/>
        <v>#REF!</v>
      </c>
      <c r="G239" s="7" t="e">
        <f t="shared" ca="1" si="33"/>
        <v>#REF!</v>
      </c>
      <c r="H239" s="7"/>
      <c r="I239" s="7"/>
      <c r="J239" s="1" t="s">
        <v>1356</v>
      </c>
      <c r="K239" s="6" t="e">
        <f t="shared" ca="1" si="35"/>
        <v>#REF!</v>
      </c>
      <c r="L239" s="6" t="e">
        <f t="shared" ca="1" si="34"/>
        <v>#REF!</v>
      </c>
      <c r="M239" s="1" t="e">
        <f t="shared" ca="1" si="36"/>
        <v>#REF!</v>
      </c>
      <c r="N239" s="1" t="e">
        <f t="shared" ca="1" si="37"/>
        <v>#REF!</v>
      </c>
      <c r="O239" s="1" t="e">
        <f t="shared" ca="1" si="38"/>
        <v>#REF!</v>
      </c>
      <c r="P239" s="1" t="e">
        <f t="shared" ca="1" si="39"/>
        <v>#REF!</v>
      </c>
    </row>
    <row r="240" spans="1:16">
      <c r="A240" s="7"/>
      <c r="B240" s="7"/>
      <c r="C240" s="2" t="s">
        <v>4293</v>
      </c>
      <c r="D240" s="7">
        <f t="shared" ca="1" si="30"/>
        <v>1</v>
      </c>
      <c r="E240" s="7" t="e">
        <f t="shared" ca="1" si="31"/>
        <v>#REF!</v>
      </c>
      <c r="F240" s="7" t="e">
        <f t="shared" ca="1" si="32"/>
        <v>#REF!</v>
      </c>
      <c r="G240" s="7" t="e">
        <f t="shared" ca="1" si="33"/>
        <v>#REF!</v>
      </c>
      <c r="H240" s="7"/>
      <c r="I240" s="7"/>
      <c r="J240" s="1" t="s">
        <v>1356</v>
      </c>
      <c r="K240" s="6" t="e">
        <f t="shared" ca="1" si="35"/>
        <v>#REF!</v>
      </c>
      <c r="L240" s="6" t="e">
        <f t="shared" ca="1" si="34"/>
        <v>#REF!</v>
      </c>
      <c r="M240" s="1" t="e">
        <f t="shared" ca="1" si="36"/>
        <v>#REF!</v>
      </c>
      <c r="N240" s="1" t="e">
        <f t="shared" ca="1" si="37"/>
        <v>#REF!</v>
      </c>
      <c r="O240" s="1" t="e">
        <f t="shared" ca="1" si="38"/>
        <v>#REF!</v>
      </c>
      <c r="P240" s="1" t="e">
        <f t="shared" ca="1" si="39"/>
        <v>#REF!</v>
      </c>
    </row>
    <row r="241" spans="1:16">
      <c r="A241" s="7"/>
      <c r="B241" s="7"/>
      <c r="C241" s="2" t="s">
        <v>608</v>
      </c>
      <c r="D241" s="7">
        <f t="shared" ca="1" si="30"/>
        <v>1</v>
      </c>
      <c r="E241" s="7" t="e">
        <f t="shared" ca="1" si="31"/>
        <v>#REF!</v>
      </c>
      <c r="F241" s="7" t="e">
        <f t="shared" ca="1" si="32"/>
        <v>#REF!</v>
      </c>
      <c r="G241" s="7" t="e">
        <f t="shared" ca="1" si="33"/>
        <v>#REF!</v>
      </c>
      <c r="H241" s="7"/>
      <c r="I241" s="7"/>
      <c r="J241" s="1" t="s">
        <v>1356</v>
      </c>
      <c r="K241" s="6" t="e">
        <f t="shared" ca="1" si="35"/>
        <v>#REF!</v>
      </c>
      <c r="L241" s="6" t="e">
        <f t="shared" ca="1" si="34"/>
        <v>#REF!</v>
      </c>
      <c r="M241" s="1" t="e">
        <f t="shared" ca="1" si="36"/>
        <v>#REF!</v>
      </c>
      <c r="N241" s="1" t="e">
        <f t="shared" ca="1" si="37"/>
        <v>#REF!</v>
      </c>
      <c r="O241" s="1" t="e">
        <f t="shared" ca="1" si="38"/>
        <v>#REF!</v>
      </c>
      <c r="P241" s="1" t="e">
        <f t="shared" ca="1" si="39"/>
        <v>#REF!</v>
      </c>
    </row>
    <row r="242" spans="1:16">
      <c r="A242" s="7"/>
      <c r="B242" s="7"/>
      <c r="C242" s="2" t="s">
        <v>1002</v>
      </c>
      <c r="D242" s="7">
        <f t="shared" ca="1" si="30"/>
        <v>1</v>
      </c>
      <c r="E242" s="7" t="e">
        <f t="shared" ca="1" si="31"/>
        <v>#REF!</v>
      </c>
      <c r="F242" s="7" t="e">
        <f t="shared" ca="1" si="32"/>
        <v>#REF!</v>
      </c>
      <c r="G242" s="7" t="e">
        <f t="shared" ca="1" si="33"/>
        <v>#REF!</v>
      </c>
      <c r="H242" s="7"/>
      <c r="I242" s="7"/>
      <c r="J242" s="1" t="s">
        <v>1356</v>
      </c>
      <c r="K242" s="6" t="e">
        <f t="shared" ca="1" si="35"/>
        <v>#REF!</v>
      </c>
      <c r="L242" s="6" t="e">
        <f t="shared" ca="1" si="34"/>
        <v>#REF!</v>
      </c>
      <c r="M242" s="1" t="e">
        <f t="shared" ca="1" si="36"/>
        <v>#REF!</v>
      </c>
      <c r="N242" s="1" t="e">
        <f t="shared" ca="1" si="37"/>
        <v>#REF!</v>
      </c>
      <c r="O242" s="1" t="e">
        <f t="shared" ca="1" si="38"/>
        <v>#REF!</v>
      </c>
      <c r="P242" s="1" t="e">
        <f t="shared" ca="1" si="39"/>
        <v>#REF!</v>
      </c>
    </row>
    <row r="243" spans="1:16">
      <c r="A243" s="7"/>
      <c r="B243" s="7"/>
      <c r="C243" s="2" t="s">
        <v>4294</v>
      </c>
      <c r="D243" s="7">
        <f t="shared" ca="1" si="30"/>
        <v>1</v>
      </c>
      <c r="E243" s="7" t="e">
        <f t="shared" ca="1" si="31"/>
        <v>#REF!</v>
      </c>
      <c r="F243" s="7" t="e">
        <f t="shared" ca="1" si="32"/>
        <v>#REF!</v>
      </c>
      <c r="G243" s="7" t="e">
        <f t="shared" ca="1" si="33"/>
        <v>#REF!</v>
      </c>
      <c r="H243" s="7"/>
      <c r="I243" s="7"/>
      <c r="J243" s="1" t="s">
        <v>1356</v>
      </c>
      <c r="K243" s="6" t="e">
        <f t="shared" ca="1" si="35"/>
        <v>#REF!</v>
      </c>
      <c r="L243" s="6" t="e">
        <f t="shared" ca="1" si="34"/>
        <v>#REF!</v>
      </c>
      <c r="M243" s="1" t="e">
        <f t="shared" ca="1" si="36"/>
        <v>#REF!</v>
      </c>
      <c r="N243" s="1" t="e">
        <f t="shared" ca="1" si="37"/>
        <v>#REF!</v>
      </c>
      <c r="O243" s="1" t="e">
        <f t="shared" ca="1" si="38"/>
        <v>#REF!</v>
      </c>
      <c r="P243" s="1" t="e">
        <f t="shared" ca="1" si="39"/>
        <v>#REF!</v>
      </c>
    </row>
    <row r="244" spans="1:16">
      <c r="A244" s="7"/>
      <c r="B244" s="7"/>
      <c r="C244" s="2" t="s">
        <v>4295</v>
      </c>
      <c r="D244" s="7">
        <f t="shared" ca="1" si="30"/>
        <v>1</v>
      </c>
      <c r="E244" s="7" t="e">
        <f t="shared" ca="1" si="31"/>
        <v>#REF!</v>
      </c>
      <c r="F244" s="7" t="e">
        <f t="shared" ca="1" si="32"/>
        <v>#REF!</v>
      </c>
      <c r="G244" s="7" t="e">
        <f t="shared" ca="1" si="33"/>
        <v>#REF!</v>
      </c>
      <c r="H244" s="7"/>
      <c r="I244" s="7"/>
      <c r="J244" s="1" t="s">
        <v>1356</v>
      </c>
      <c r="K244" s="6" t="e">
        <f t="shared" ca="1" si="35"/>
        <v>#REF!</v>
      </c>
      <c r="L244" s="6" t="e">
        <f t="shared" ca="1" si="34"/>
        <v>#REF!</v>
      </c>
      <c r="M244" s="1" t="e">
        <f t="shared" ca="1" si="36"/>
        <v>#REF!</v>
      </c>
      <c r="N244" s="1" t="e">
        <f t="shared" ca="1" si="37"/>
        <v>#REF!</v>
      </c>
      <c r="O244" s="1" t="e">
        <f t="shared" ca="1" si="38"/>
        <v>#REF!</v>
      </c>
      <c r="P244" s="1" t="e">
        <f t="shared" ca="1" si="39"/>
        <v>#REF!</v>
      </c>
    </row>
    <row r="245" spans="1:16">
      <c r="A245" s="7"/>
      <c r="B245" s="7"/>
      <c r="C245" s="2" t="s">
        <v>4296</v>
      </c>
      <c r="D245" s="7">
        <f t="shared" ca="1" si="30"/>
        <v>1</v>
      </c>
      <c r="E245" s="7" t="e">
        <f t="shared" ca="1" si="31"/>
        <v>#REF!</v>
      </c>
      <c r="F245" s="7" t="e">
        <f t="shared" ca="1" si="32"/>
        <v>#REF!</v>
      </c>
      <c r="G245" s="7" t="e">
        <f t="shared" ca="1" si="33"/>
        <v>#REF!</v>
      </c>
      <c r="H245" s="7"/>
      <c r="I245" s="7"/>
      <c r="J245" s="1" t="s">
        <v>1356</v>
      </c>
      <c r="K245" s="6" t="e">
        <f t="shared" ca="1" si="35"/>
        <v>#REF!</v>
      </c>
      <c r="L245" s="6" t="e">
        <f t="shared" ca="1" si="34"/>
        <v>#REF!</v>
      </c>
      <c r="M245" s="1" t="e">
        <f t="shared" ca="1" si="36"/>
        <v>#REF!</v>
      </c>
      <c r="N245" s="1" t="e">
        <f t="shared" ca="1" si="37"/>
        <v>#REF!</v>
      </c>
      <c r="O245" s="1" t="e">
        <f t="shared" ca="1" si="38"/>
        <v>#REF!</v>
      </c>
      <c r="P245" s="1" t="e">
        <f t="shared" ca="1" si="39"/>
        <v>#REF!</v>
      </c>
    </row>
    <row r="246" spans="1:16">
      <c r="A246" s="7"/>
      <c r="B246" s="7"/>
      <c r="C246" s="2" t="s">
        <v>4297</v>
      </c>
      <c r="D246" s="7">
        <f t="shared" ca="1" si="30"/>
        <v>1</v>
      </c>
      <c r="E246" s="7" t="e">
        <f t="shared" ca="1" si="31"/>
        <v>#REF!</v>
      </c>
      <c r="F246" s="7" t="e">
        <f t="shared" ca="1" si="32"/>
        <v>#REF!</v>
      </c>
      <c r="G246" s="7" t="e">
        <f t="shared" ca="1" si="33"/>
        <v>#REF!</v>
      </c>
      <c r="H246" s="7"/>
      <c r="I246" s="7"/>
      <c r="J246" s="1" t="s">
        <v>1356</v>
      </c>
      <c r="K246" s="6" t="e">
        <f t="shared" ca="1" si="35"/>
        <v>#REF!</v>
      </c>
      <c r="L246" s="6" t="e">
        <f t="shared" ca="1" si="34"/>
        <v>#REF!</v>
      </c>
      <c r="M246" s="1" t="e">
        <f t="shared" ca="1" si="36"/>
        <v>#REF!</v>
      </c>
      <c r="N246" s="1" t="e">
        <f t="shared" ca="1" si="37"/>
        <v>#REF!</v>
      </c>
      <c r="O246" s="1" t="e">
        <f t="shared" ca="1" si="38"/>
        <v>#REF!</v>
      </c>
      <c r="P246" s="1" t="e">
        <f t="shared" ca="1" si="39"/>
        <v>#REF!</v>
      </c>
    </row>
    <row r="247" spans="1:16">
      <c r="A247" s="7"/>
      <c r="B247" s="7"/>
      <c r="C247" s="2" t="s">
        <v>4298</v>
      </c>
      <c r="D247" s="7">
        <f t="shared" ca="1" si="30"/>
        <v>1</v>
      </c>
      <c r="E247" s="7" t="e">
        <f t="shared" ca="1" si="31"/>
        <v>#REF!</v>
      </c>
      <c r="F247" s="7" t="e">
        <f t="shared" ca="1" si="32"/>
        <v>#REF!</v>
      </c>
      <c r="G247" s="7" t="e">
        <f t="shared" ca="1" si="33"/>
        <v>#REF!</v>
      </c>
      <c r="H247" s="7"/>
      <c r="I247" s="7"/>
      <c r="J247" s="1" t="s">
        <v>1356</v>
      </c>
      <c r="K247" s="6" t="e">
        <f t="shared" ca="1" si="35"/>
        <v>#REF!</v>
      </c>
      <c r="L247" s="6" t="e">
        <f t="shared" ca="1" si="34"/>
        <v>#REF!</v>
      </c>
      <c r="M247" s="1" t="e">
        <f t="shared" ca="1" si="36"/>
        <v>#REF!</v>
      </c>
      <c r="N247" s="1" t="e">
        <f t="shared" ca="1" si="37"/>
        <v>#REF!</v>
      </c>
      <c r="O247" s="1" t="e">
        <f t="shared" ca="1" si="38"/>
        <v>#REF!</v>
      </c>
      <c r="P247" s="1" t="e">
        <f t="shared" ca="1" si="39"/>
        <v>#REF!</v>
      </c>
    </row>
    <row r="248" spans="1:16">
      <c r="A248" s="7"/>
      <c r="B248" s="7"/>
      <c r="C248" s="2" t="s">
        <v>4299</v>
      </c>
      <c r="D248" s="7">
        <f t="shared" ca="1" si="30"/>
        <v>1</v>
      </c>
      <c r="E248" s="7" t="e">
        <f t="shared" ca="1" si="31"/>
        <v>#REF!</v>
      </c>
      <c r="F248" s="7" t="e">
        <f t="shared" ca="1" si="32"/>
        <v>#REF!</v>
      </c>
      <c r="G248" s="7" t="e">
        <f t="shared" ca="1" si="33"/>
        <v>#REF!</v>
      </c>
      <c r="H248" s="7"/>
      <c r="I248" s="7"/>
      <c r="J248" s="1" t="s">
        <v>1356</v>
      </c>
      <c r="K248" s="6" t="e">
        <f t="shared" ca="1" si="35"/>
        <v>#REF!</v>
      </c>
      <c r="L248" s="6" t="e">
        <f t="shared" ca="1" si="34"/>
        <v>#REF!</v>
      </c>
      <c r="M248" s="1" t="e">
        <f t="shared" ca="1" si="36"/>
        <v>#REF!</v>
      </c>
      <c r="N248" s="1" t="e">
        <f t="shared" ca="1" si="37"/>
        <v>#REF!</v>
      </c>
      <c r="O248" s="1" t="e">
        <f t="shared" ca="1" si="38"/>
        <v>#REF!</v>
      </c>
      <c r="P248" s="1" t="e">
        <f t="shared" ca="1" si="39"/>
        <v>#REF!</v>
      </c>
    </row>
    <row r="249" spans="1:16">
      <c r="A249" s="7"/>
      <c r="B249" s="7"/>
      <c r="C249" s="2" t="s">
        <v>4334</v>
      </c>
      <c r="D249" s="7">
        <f t="shared" ca="1" si="30"/>
        <v>1</v>
      </c>
      <c r="E249" s="7" t="e">
        <f t="shared" ca="1" si="31"/>
        <v>#REF!</v>
      </c>
      <c r="F249" s="7" t="e">
        <f t="shared" ca="1" si="32"/>
        <v>#REF!</v>
      </c>
      <c r="G249" s="7" t="e">
        <f t="shared" ca="1" si="33"/>
        <v>#REF!</v>
      </c>
      <c r="H249" s="7"/>
      <c r="I249" s="7"/>
      <c r="J249" s="1" t="s">
        <v>1356</v>
      </c>
      <c r="K249" s="6" t="e">
        <f t="shared" ca="1" si="35"/>
        <v>#REF!</v>
      </c>
      <c r="L249" s="6" t="e">
        <f t="shared" ca="1" si="34"/>
        <v>#REF!</v>
      </c>
      <c r="M249" s="1" t="e">
        <f t="shared" ca="1" si="36"/>
        <v>#REF!</v>
      </c>
      <c r="N249" s="1" t="e">
        <f t="shared" ca="1" si="37"/>
        <v>#REF!</v>
      </c>
      <c r="O249" s="1" t="e">
        <f t="shared" ca="1" si="38"/>
        <v>#REF!</v>
      </c>
      <c r="P249" s="1" t="e">
        <f t="shared" ca="1" si="39"/>
        <v>#REF!</v>
      </c>
    </row>
    <row r="250" spans="1:16">
      <c r="A250" s="7"/>
      <c r="B250" s="7"/>
      <c r="C250" s="2" t="s">
        <v>4300</v>
      </c>
      <c r="D250" s="7">
        <f t="shared" ca="1" si="30"/>
        <v>1</v>
      </c>
      <c r="E250" s="7" t="e">
        <f t="shared" ca="1" si="31"/>
        <v>#REF!</v>
      </c>
      <c r="F250" s="7" t="e">
        <f t="shared" ca="1" si="32"/>
        <v>#REF!</v>
      </c>
      <c r="G250" s="7" t="e">
        <f t="shared" ca="1" si="33"/>
        <v>#REF!</v>
      </c>
      <c r="H250" s="7"/>
      <c r="I250" s="7"/>
      <c r="J250" s="1" t="s">
        <v>1356</v>
      </c>
      <c r="K250" s="6" t="e">
        <f t="shared" ca="1" si="35"/>
        <v>#REF!</v>
      </c>
      <c r="L250" s="6" t="e">
        <f t="shared" ca="1" si="34"/>
        <v>#REF!</v>
      </c>
      <c r="M250" s="1" t="e">
        <f t="shared" ca="1" si="36"/>
        <v>#REF!</v>
      </c>
      <c r="N250" s="1" t="e">
        <f t="shared" ca="1" si="37"/>
        <v>#REF!</v>
      </c>
      <c r="O250" s="1" t="e">
        <f t="shared" ca="1" si="38"/>
        <v>#REF!</v>
      </c>
      <c r="P250" s="1" t="e">
        <f t="shared" ca="1" si="39"/>
        <v>#REF!</v>
      </c>
    </row>
    <row r="251" spans="1:16">
      <c r="A251" s="7"/>
      <c r="B251" s="7"/>
      <c r="C251" s="2" t="s">
        <v>4301</v>
      </c>
      <c r="D251" s="7">
        <f t="shared" ca="1" si="30"/>
        <v>1</v>
      </c>
      <c r="E251" s="7" t="e">
        <f t="shared" ca="1" si="31"/>
        <v>#REF!</v>
      </c>
      <c r="F251" s="7" t="e">
        <f t="shared" ca="1" si="32"/>
        <v>#REF!</v>
      </c>
      <c r="G251" s="7" t="e">
        <f t="shared" ca="1" si="33"/>
        <v>#REF!</v>
      </c>
      <c r="H251" s="7"/>
      <c r="I251" s="7"/>
      <c r="J251" s="1" t="s">
        <v>1356</v>
      </c>
      <c r="K251" s="6" t="e">
        <f t="shared" ca="1" si="35"/>
        <v>#REF!</v>
      </c>
      <c r="L251" s="6" t="e">
        <f t="shared" ca="1" si="34"/>
        <v>#REF!</v>
      </c>
      <c r="M251" s="1" t="e">
        <f t="shared" ca="1" si="36"/>
        <v>#REF!</v>
      </c>
      <c r="N251" s="1" t="e">
        <f t="shared" ca="1" si="37"/>
        <v>#REF!</v>
      </c>
      <c r="O251" s="1" t="e">
        <f t="shared" ca="1" si="38"/>
        <v>#REF!</v>
      </c>
      <c r="P251" s="1" t="e">
        <f t="shared" ca="1" si="39"/>
        <v>#REF!</v>
      </c>
    </row>
    <row r="252" spans="1:16">
      <c r="A252" s="7"/>
      <c r="B252" s="7"/>
      <c r="C252" s="2" t="s">
        <v>1003</v>
      </c>
      <c r="D252" s="7">
        <f t="shared" ca="1" si="30"/>
        <v>1</v>
      </c>
      <c r="E252" s="7" t="e">
        <f t="shared" ca="1" si="31"/>
        <v>#REF!</v>
      </c>
      <c r="F252" s="7" t="e">
        <f t="shared" ca="1" si="32"/>
        <v>#REF!</v>
      </c>
      <c r="G252" s="7" t="e">
        <f t="shared" ca="1" si="33"/>
        <v>#REF!</v>
      </c>
      <c r="H252" s="7"/>
      <c r="I252" s="7"/>
      <c r="J252" s="1" t="s">
        <v>1356</v>
      </c>
      <c r="K252" s="6" t="e">
        <f t="shared" ca="1" si="35"/>
        <v>#REF!</v>
      </c>
      <c r="L252" s="6" t="e">
        <f t="shared" ca="1" si="34"/>
        <v>#REF!</v>
      </c>
      <c r="M252" s="1" t="e">
        <f t="shared" ca="1" si="36"/>
        <v>#REF!</v>
      </c>
      <c r="N252" s="1" t="e">
        <f t="shared" ca="1" si="37"/>
        <v>#REF!</v>
      </c>
      <c r="O252" s="1" t="e">
        <f t="shared" ca="1" si="38"/>
        <v>#REF!</v>
      </c>
      <c r="P252" s="1" t="e">
        <f t="shared" ca="1" si="39"/>
        <v>#REF!</v>
      </c>
    </row>
    <row r="253" spans="1:16">
      <c r="A253" s="7"/>
      <c r="B253" s="7"/>
      <c r="C253" s="2" t="s">
        <v>1004</v>
      </c>
      <c r="D253" s="7">
        <f t="shared" ca="1" si="30"/>
        <v>1</v>
      </c>
      <c r="E253" s="7" t="e">
        <f t="shared" ca="1" si="31"/>
        <v>#REF!</v>
      </c>
      <c r="F253" s="7" t="e">
        <f t="shared" ca="1" si="32"/>
        <v>#REF!</v>
      </c>
      <c r="G253" s="7" t="e">
        <f t="shared" ca="1" si="33"/>
        <v>#REF!</v>
      </c>
      <c r="H253" s="7"/>
      <c r="I253" s="7"/>
      <c r="J253" s="1" t="s">
        <v>1356</v>
      </c>
      <c r="K253" s="6" t="e">
        <f t="shared" ca="1" si="35"/>
        <v>#REF!</v>
      </c>
      <c r="L253" s="6" t="e">
        <f t="shared" ca="1" si="34"/>
        <v>#REF!</v>
      </c>
      <c r="M253" s="1" t="e">
        <f t="shared" ca="1" si="36"/>
        <v>#REF!</v>
      </c>
      <c r="N253" s="1" t="e">
        <f t="shared" ca="1" si="37"/>
        <v>#REF!</v>
      </c>
      <c r="O253" s="1" t="e">
        <f t="shared" ca="1" si="38"/>
        <v>#REF!</v>
      </c>
      <c r="P253" s="1" t="e">
        <f t="shared" ca="1" si="39"/>
        <v>#REF!</v>
      </c>
    </row>
    <row r="254" spans="1:16">
      <c r="A254" s="7"/>
      <c r="B254" s="7"/>
      <c r="C254" s="2" t="s">
        <v>780</v>
      </c>
      <c r="D254" s="7">
        <f t="shared" ca="1" si="30"/>
        <v>1</v>
      </c>
      <c r="E254" s="7" t="e">
        <f t="shared" ca="1" si="31"/>
        <v>#REF!</v>
      </c>
      <c r="F254" s="7" t="e">
        <f t="shared" ca="1" si="32"/>
        <v>#REF!</v>
      </c>
      <c r="G254" s="7" t="e">
        <f t="shared" ca="1" si="33"/>
        <v>#REF!</v>
      </c>
      <c r="H254" s="7"/>
      <c r="I254" s="7"/>
      <c r="J254" s="1" t="s">
        <v>1356</v>
      </c>
      <c r="K254" s="6" t="e">
        <f t="shared" ca="1" si="35"/>
        <v>#REF!</v>
      </c>
      <c r="L254" s="6" t="e">
        <f t="shared" ca="1" si="34"/>
        <v>#REF!</v>
      </c>
      <c r="M254" s="1" t="e">
        <f t="shared" ca="1" si="36"/>
        <v>#REF!</v>
      </c>
      <c r="N254" s="1" t="e">
        <f t="shared" ca="1" si="37"/>
        <v>#REF!</v>
      </c>
      <c r="O254" s="1" t="e">
        <f t="shared" ca="1" si="38"/>
        <v>#REF!</v>
      </c>
      <c r="P254" s="1" t="e">
        <f t="shared" ca="1" si="39"/>
        <v>#REF!</v>
      </c>
    </row>
    <row r="255" spans="1:16">
      <c r="A255" s="7"/>
      <c r="B255" s="7"/>
      <c r="C255" s="2" t="s">
        <v>786</v>
      </c>
      <c r="D255" s="7">
        <f t="shared" ca="1" si="30"/>
        <v>1</v>
      </c>
      <c r="E255" s="7" t="e">
        <f t="shared" ca="1" si="31"/>
        <v>#REF!</v>
      </c>
      <c r="F255" s="7" t="e">
        <f t="shared" ca="1" si="32"/>
        <v>#REF!</v>
      </c>
      <c r="G255" s="7" t="e">
        <f t="shared" ca="1" si="33"/>
        <v>#REF!</v>
      </c>
      <c r="H255" s="7"/>
      <c r="I255" s="7"/>
      <c r="J255" s="1" t="s">
        <v>1356</v>
      </c>
      <c r="K255" s="6" t="e">
        <f t="shared" ca="1" si="35"/>
        <v>#REF!</v>
      </c>
      <c r="L255" s="6" t="e">
        <f t="shared" ca="1" si="34"/>
        <v>#REF!</v>
      </c>
      <c r="M255" s="1" t="e">
        <f t="shared" ca="1" si="36"/>
        <v>#REF!</v>
      </c>
      <c r="N255" s="1" t="e">
        <f t="shared" ca="1" si="37"/>
        <v>#REF!</v>
      </c>
      <c r="O255" s="1" t="e">
        <f t="shared" ca="1" si="38"/>
        <v>#REF!</v>
      </c>
      <c r="P255" s="1" t="e">
        <f t="shared" ca="1" si="39"/>
        <v>#REF!</v>
      </c>
    </row>
    <row r="256" spans="1:16">
      <c r="A256" s="7"/>
      <c r="B256" s="7"/>
      <c r="C256" s="2" t="s">
        <v>1005</v>
      </c>
      <c r="D256" s="7">
        <f t="shared" ca="1" si="30"/>
        <v>1</v>
      </c>
      <c r="E256" s="7" t="e">
        <f t="shared" ca="1" si="31"/>
        <v>#REF!</v>
      </c>
      <c r="F256" s="7" t="e">
        <f t="shared" ca="1" si="32"/>
        <v>#REF!</v>
      </c>
      <c r="G256" s="7" t="e">
        <f t="shared" ca="1" si="33"/>
        <v>#REF!</v>
      </c>
      <c r="H256" s="7"/>
      <c r="I256" s="7"/>
      <c r="J256" s="1" t="s">
        <v>1356</v>
      </c>
      <c r="K256" s="6" t="e">
        <f t="shared" ca="1" si="35"/>
        <v>#REF!</v>
      </c>
      <c r="L256" s="6" t="e">
        <f t="shared" ca="1" si="34"/>
        <v>#REF!</v>
      </c>
      <c r="M256" s="1" t="e">
        <f t="shared" ca="1" si="36"/>
        <v>#REF!</v>
      </c>
      <c r="N256" s="1" t="e">
        <f t="shared" ca="1" si="37"/>
        <v>#REF!</v>
      </c>
      <c r="O256" s="1" t="e">
        <f t="shared" ca="1" si="38"/>
        <v>#REF!</v>
      </c>
      <c r="P256" s="1" t="e">
        <f t="shared" ca="1" si="39"/>
        <v>#REF!</v>
      </c>
    </row>
    <row r="257" spans="1:16">
      <c r="A257" s="7"/>
      <c r="B257" s="7"/>
      <c r="C257" s="2" t="s">
        <v>4302</v>
      </c>
      <c r="D257" s="7">
        <f t="shared" ca="1" si="30"/>
        <v>1</v>
      </c>
      <c r="E257" s="7" t="e">
        <f t="shared" ca="1" si="31"/>
        <v>#REF!</v>
      </c>
      <c r="F257" s="7" t="e">
        <f t="shared" ca="1" si="32"/>
        <v>#REF!</v>
      </c>
      <c r="G257" s="7" t="e">
        <f t="shared" ca="1" si="33"/>
        <v>#REF!</v>
      </c>
      <c r="H257" s="7"/>
      <c r="I257" s="7"/>
      <c r="J257" s="1" t="s">
        <v>1356</v>
      </c>
      <c r="K257" s="6" t="e">
        <f t="shared" ca="1" si="35"/>
        <v>#REF!</v>
      </c>
      <c r="L257" s="6" t="e">
        <f t="shared" ca="1" si="34"/>
        <v>#REF!</v>
      </c>
      <c r="M257" s="1" t="e">
        <f t="shared" ca="1" si="36"/>
        <v>#REF!</v>
      </c>
      <c r="N257" s="1" t="e">
        <f t="shared" ca="1" si="37"/>
        <v>#REF!</v>
      </c>
      <c r="O257" s="1" t="e">
        <f t="shared" ca="1" si="38"/>
        <v>#REF!</v>
      </c>
      <c r="P257" s="1" t="e">
        <f t="shared" ca="1" si="39"/>
        <v>#REF!</v>
      </c>
    </row>
    <row r="258" spans="1:16">
      <c r="A258" s="7"/>
      <c r="B258" s="7"/>
      <c r="C258" s="2" t="s">
        <v>4303</v>
      </c>
      <c r="D258" s="7">
        <f t="shared" ca="1" si="30"/>
        <v>1</v>
      </c>
      <c r="E258" s="7" t="e">
        <f t="shared" ca="1" si="31"/>
        <v>#REF!</v>
      </c>
      <c r="F258" s="7" t="e">
        <f t="shared" ca="1" si="32"/>
        <v>#REF!</v>
      </c>
      <c r="G258" s="7" t="e">
        <f t="shared" ca="1" si="33"/>
        <v>#REF!</v>
      </c>
      <c r="H258" s="7"/>
      <c r="I258" s="7"/>
      <c r="J258" s="1" t="s">
        <v>1356</v>
      </c>
      <c r="K258" s="6" t="e">
        <f t="shared" ca="1" si="35"/>
        <v>#REF!</v>
      </c>
      <c r="L258" s="6" t="e">
        <f t="shared" ca="1" si="34"/>
        <v>#REF!</v>
      </c>
      <c r="M258" s="1" t="e">
        <f t="shared" ca="1" si="36"/>
        <v>#REF!</v>
      </c>
      <c r="N258" s="1" t="e">
        <f t="shared" ca="1" si="37"/>
        <v>#REF!</v>
      </c>
      <c r="O258" s="1" t="e">
        <f t="shared" ca="1" si="38"/>
        <v>#REF!</v>
      </c>
      <c r="P258" s="1" t="e">
        <f t="shared" ca="1" si="39"/>
        <v>#REF!</v>
      </c>
    </row>
    <row r="259" spans="1:16">
      <c r="A259" s="7"/>
      <c r="B259" s="7"/>
      <c r="C259" s="2" t="s">
        <v>4304</v>
      </c>
      <c r="D259" s="7">
        <f t="shared" ca="1" si="30"/>
        <v>1</v>
      </c>
      <c r="E259" s="7" t="e">
        <f t="shared" ca="1" si="31"/>
        <v>#REF!</v>
      </c>
      <c r="F259" s="7" t="e">
        <f t="shared" ca="1" si="32"/>
        <v>#REF!</v>
      </c>
      <c r="G259" s="7" t="e">
        <f t="shared" ca="1" si="33"/>
        <v>#REF!</v>
      </c>
      <c r="H259" s="7"/>
      <c r="I259" s="7"/>
      <c r="J259" s="1" t="s">
        <v>1356</v>
      </c>
      <c r="K259" s="6" t="e">
        <f t="shared" ca="1" si="35"/>
        <v>#REF!</v>
      </c>
      <c r="L259" s="6" t="e">
        <f t="shared" ca="1" si="34"/>
        <v>#REF!</v>
      </c>
      <c r="M259" s="1" t="e">
        <f t="shared" ca="1" si="36"/>
        <v>#REF!</v>
      </c>
      <c r="N259" s="1" t="e">
        <f t="shared" ca="1" si="37"/>
        <v>#REF!</v>
      </c>
      <c r="O259" s="1" t="e">
        <f t="shared" ca="1" si="38"/>
        <v>#REF!</v>
      </c>
      <c r="P259" s="1" t="e">
        <f t="shared" ca="1" si="39"/>
        <v>#REF!</v>
      </c>
    </row>
    <row r="260" spans="1:16">
      <c r="A260" s="7"/>
      <c r="B260" s="7"/>
      <c r="C260" s="2" t="s">
        <v>4305</v>
      </c>
      <c r="D260" s="7">
        <f t="shared" ca="1" si="30"/>
        <v>1</v>
      </c>
      <c r="E260" s="7" t="e">
        <f t="shared" ca="1" si="31"/>
        <v>#REF!</v>
      </c>
      <c r="F260" s="7" t="e">
        <f t="shared" ca="1" si="32"/>
        <v>#REF!</v>
      </c>
      <c r="G260" s="7" t="e">
        <f t="shared" ca="1" si="33"/>
        <v>#REF!</v>
      </c>
      <c r="H260" s="7"/>
      <c r="I260" s="7"/>
      <c r="J260" s="1" t="s">
        <v>1356</v>
      </c>
      <c r="K260" s="6" t="e">
        <f t="shared" ca="1" si="35"/>
        <v>#REF!</v>
      </c>
      <c r="L260" s="6" t="e">
        <f t="shared" ca="1" si="34"/>
        <v>#REF!</v>
      </c>
      <c r="M260" s="1" t="e">
        <f t="shared" ca="1" si="36"/>
        <v>#REF!</v>
      </c>
      <c r="N260" s="1" t="e">
        <f t="shared" ca="1" si="37"/>
        <v>#REF!</v>
      </c>
      <c r="O260" s="1" t="e">
        <f t="shared" ca="1" si="38"/>
        <v>#REF!</v>
      </c>
      <c r="P260" s="1" t="e">
        <f t="shared" ca="1" si="39"/>
        <v>#REF!</v>
      </c>
    </row>
    <row r="261" spans="1:16">
      <c r="A261" s="7"/>
      <c r="B261" s="7"/>
      <c r="C261" s="2" t="s">
        <v>4306</v>
      </c>
      <c r="D261" s="7">
        <f t="shared" ca="1" si="30"/>
        <v>1</v>
      </c>
      <c r="E261" s="7" t="e">
        <f t="shared" ca="1" si="31"/>
        <v>#REF!</v>
      </c>
      <c r="F261" s="7" t="e">
        <f t="shared" ca="1" si="32"/>
        <v>#REF!</v>
      </c>
      <c r="G261" s="7" t="e">
        <f t="shared" ca="1" si="33"/>
        <v>#REF!</v>
      </c>
      <c r="H261" s="7"/>
      <c r="I261" s="7"/>
      <c r="J261" s="1" t="s">
        <v>1356</v>
      </c>
      <c r="K261" s="6" t="e">
        <f t="shared" ca="1" si="35"/>
        <v>#REF!</v>
      </c>
      <c r="L261" s="6" t="e">
        <f t="shared" ca="1" si="34"/>
        <v>#REF!</v>
      </c>
      <c r="M261" s="1" t="e">
        <f t="shared" ca="1" si="36"/>
        <v>#REF!</v>
      </c>
      <c r="N261" s="1" t="e">
        <f t="shared" ca="1" si="37"/>
        <v>#REF!</v>
      </c>
      <c r="O261" s="1" t="e">
        <f t="shared" ca="1" si="38"/>
        <v>#REF!</v>
      </c>
      <c r="P261" s="1" t="e">
        <f t="shared" ca="1" si="39"/>
        <v>#REF!</v>
      </c>
    </row>
    <row r="262" spans="1:16">
      <c r="A262" s="7"/>
      <c r="B262" s="7"/>
      <c r="C262" s="2" t="s">
        <v>4307</v>
      </c>
      <c r="D262" s="7">
        <f t="shared" ref="D262:D293" ca="1" si="40">COUNTA(INDIRECT(CONCATENATE("'",J262,"'!",K262)))</f>
        <v>1</v>
      </c>
      <c r="E262" s="7" t="e">
        <f t="shared" ref="E262:E293" ca="1" si="41">G262+F262</f>
        <v>#REF!</v>
      </c>
      <c r="F262" s="7" t="e">
        <f t="shared" ref="F262:F293" ca="1" si="42">COUNTIF(INDIRECT(CONCATENATE("'",J262,"'!",M262)),"●")+COUNTIFS(INDIRECT(CONCATENATE("'",J262,"'!",M262)),"×",INDIRECT(CONCATENATE("'",J262,"'!",N262)),"●")</f>
        <v>#REF!</v>
      </c>
      <c r="G262" s="7" t="e">
        <f t="shared" ref="G262:G293" ca="1" si="43">COUNTIF(INDIRECT(CONCATENATE("'",J262,"'!",M262)),"×")-COUNTIFS(INDIRECT(CONCATENATE("'",J262,"'!",M262)),"×",INDIRECT(CONCATENATE("'",J262,"'!",N262)),"●")</f>
        <v>#REF!</v>
      </c>
      <c r="H262" s="7"/>
      <c r="I262" s="7"/>
      <c r="J262" s="1" t="s">
        <v>1356</v>
      </c>
      <c r="K262" s="6" t="e">
        <f t="shared" ca="1" si="35"/>
        <v>#REF!</v>
      </c>
      <c r="L262" s="6" t="e">
        <f t="shared" ca="1" si="34"/>
        <v>#REF!</v>
      </c>
      <c r="M262" s="1" t="e">
        <f t="shared" ca="1" si="36"/>
        <v>#REF!</v>
      </c>
      <c r="N262" s="1" t="e">
        <f t="shared" ca="1" si="37"/>
        <v>#REF!</v>
      </c>
      <c r="O262" s="1" t="e">
        <f t="shared" ca="1" si="38"/>
        <v>#REF!</v>
      </c>
      <c r="P262" s="1" t="e">
        <f t="shared" ca="1" si="39"/>
        <v>#REF!</v>
      </c>
    </row>
    <row r="263" spans="1:16">
      <c r="A263" s="7"/>
      <c r="B263" s="7"/>
      <c r="C263" s="2" t="s">
        <v>4308</v>
      </c>
      <c r="D263" s="7">
        <f t="shared" ca="1" si="40"/>
        <v>1</v>
      </c>
      <c r="E263" s="7" t="e">
        <f t="shared" ca="1" si="41"/>
        <v>#REF!</v>
      </c>
      <c r="F263" s="7" t="e">
        <f t="shared" ca="1" si="42"/>
        <v>#REF!</v>
      </c>
      <c r="G263" s="7" t="e">
        <f t="shared" ca="1" si="43"/>
        <v>#REF!</v>
      </c>
      <c r="H263" s="7"/>
      <c r="I263" s="7"/>
      <c r="J263" s="1" t="s">
        <v>1356</v>
      </c>
      <c r="K263" s="6" t="e">
        <f t="shared" ca="1" si="35"/>
        <v>#REF!</v>
      </c>
      <c r="L263" s="6" t="e">
        <f t="shared" ca="1" si="34"/>
        <v>#REF!</v>
      </c>
      <c r="M263" s="1" t="e">
        <f t="shared" ca="1" si="36"/>
        <v>#REF!</v>
      </c>
      <c r="N263" s="1" t="e">
        <f t="shared" ca="1" si="37"/>
        <v>#REF!</v>
      </c>
      <c r="O263" s="1" t="e">
        <f t="shared" ca="1" si="38"/>
        <v>#REF!</v>
      </c>
      <c r="P263" s="1" t="e">
        <f t="shared" ca="1" si="39"/>
        <v>#REF!</v>
      </c>
    </row>
    <row r="264" spans="1:16">
      <c r="A264" s="7"/>
      <c r="B264" s="7"/>
      <c r="C264" s="2" t="s">
        <v>4309</v>
      </c>
      <c r="D264" s="7">
        <f t="shared" ca="1" si="40"/>
        <v>1</v>
      </c>
      <c r="E264" s="7" t="e">
        <f t="shared" ca="1" si="41"/>
        <v>#REF!</v>
      </c>
      <c r="F264" s="7" t="e">
        <f t="shared" ca="1" si="42"/>
        <v>#REF!</v>
      </c>
      <c r="G264" s="7" t="e">
        <f t="shared" ca="1" si="43"/>
        <v>#REF!</v>
      </c>
      <c r="H264" s="7"/>
      <c r="I264" s="7"/>
      <c r="J264" s="1" t="s">
        <v>1356</v>
      </c>
      <c r="K264" s="6" t="e">
        <f t="shared" ca="1" si="35"/>
        <v>#REF!</v>
      </c>
      <c r="L264" s="6" t="e">
        <f t="shared" ca="1" si="34"/>
        <v>#REF!</v>
      </c>
      <c r="M264" s="1" t="e">
        <f t="shared" ca="1" si="36"/>
        <v>#REF!</v>
      </c>
      <c r="N264" s="1" t="e">
        <f t="shared" ca="1" si="37"/>
        <v>#REF!</v>
      </c>
      <c r="O264" s="1" t="e">
        <f t="shared" ca="1" si="38"/>
        <v>#REF!</v>
      </c>
      <c r="P264" s="1" t="e">
        <f t="shared" ca="1" si="39"/>
        <v>#REF!</v>
      </c>
    </row>
    <row r="265" spans="1:16">
      <c r="A265" s="7"/>
      <c r="B265" s="7"/>
      <c r="C265" s="2" t="s">
        <v>4310</v>
      </c>
      <c r="D265" s="7">
        <f t="shared" ca="1" si="40"/>
        <v>1</v>
      </c>
      <c r="E265" s="7" t="e">
        <f t="shared" ca="1" si="41"/>
        <v>#REF!</v>
      </c>
      <c r="F265" s="7" t="e">
        <f t="shared" ca="1" si="42"/>
        <v>#REF!</v>
      </c>
      <c r="G265" s="7" t="e">
        <f t="shared" ca="1" si="43"/>
        <v>#REF!</v>
      </c>
      <c r="H265" s="7"/>
      <c r="I265" s="7"/>
      <c r="J265" s="1" t="s">
        <v>1356</v>
      </c>
      <c r="K265" s="6" t="e">
        <f t="shared" ca="1" si="35"/>
        <v>#REF!</v>
      </c>
      <c r="L265" s="6" t="e">
        <f t="shared" ca="1" si="34"/>
        <v>#REF!</v>
      </c>
      <c r="M265" s="1" t="e">
        <f t="shared" ca="1" si="36"/>
        <v>#REF!</v>
      </c>
      <c r="N265" s="1" t="e">
        <f t="shared" ca="1" si="37"/>
        <v>#REF!</v>
      </c>
      <c r="O265" s="1" t="e">
        <f t="shared" ca="1" si="38"/>
        <v>#REF!</v>
      </c>
      <c r="P265" s="1" t="e">
        <f t="shared" ca="1" si="39"/>
        <v>#REF!</v>
      </c>
    </row>
    <row r="266" spans="1:16">
      <c r="A266" s="7"/>
      <c r="B266" s="7"/>
      <c r="C266" s="2" t="s">
        <v>4311</v>
      </c>
      <c r="D266" s="7">
        <f t="shared" ca="1" si="40"/>
        <v>1</v>
      </c>
      <c r="E266" s="7" t="e">
        <f t="shared" ca="1" si="41"/>
        <v>#REF!</v>
      </c>
      <c r="F266" s="7" t="e">
        <f t="shared" ca="1" si="42"/>
        <v>#REF!</v>
      </c>
      <c r="G266" s="7" t="e">
        <f t="shared" ca="1" si="43"/>
        <v>#REF!</v>
      </c>
      <c r="H266" s="7"/>
      <c r="I266" s="7"/>
      <c r="J266" s="1" t="s">
        <v>1356</v>
      </c>
      <c r="K266" s="6" t="e">
        <f t="shared" ca="1" si="35"/>
        <v>#REF!</v>
      </c>
      <c r="L266" s="6" t="e">
        <f t="shared" ca="1" si="34"/>
        <v>#REF!</v>
      </c>
      <c r="M266" s="1" t="e">
        <f t="shared" ca="1" si="36"/>
        <v>#REF!</v>
      </c>
      <c r="N266" s="1" t="e">
        <f t="shared" ca="1" si="37"/>
        <v>#REF!</v>
      </c>
      <c r="O266" s="1" t="e">
        <f t="shared" ca="1" si="38"/>
        <v>#REF!</v>
      </c>
      <c r="P266" s="1" t="e">
        <f t="shared" ca="1" si="39"/>
        <v>#REF!</v>
      </c>
    </row>
    <row r="267" spans="1:16">
      <c r="A267" s="7"/>
      <c r="B267" s="7"/>
      <c r="C267" s="2" t="s">
        <v>4312</v>
      </c>
      <c r="D267" s="7">
        <f t="shared" ca="1" si="40"/>
        <v>1</v>
      </c>
      <c r="E267" s="7" t="e">
        <f t="shared" ca="1" si="41"/>
        <v>#REF!</v>
      </c>
      <c r="F267" s="7" t="e">
        <f t="shared" ca="1" si="42"/>
        <v>#REF!</v>
      </c>
      <c r="G267" s="7" t="e">
        <f t="shared" ca="1" si="43"/>
        <v>#REF!</v>
      </c>
      <c r="H267" s="7"/>
      <c r="I267" s="7"/>
      <c r="J267" s="1" t="s">
        <v>1356</v>
      </c>
      <c r="K267" s="6" t="e">
        <f t="shared" ca="1" si="35"/>
        <v>#REF!</v>
      </c>
      <c r="L267" s="6" t="e">
        <f t="shared" ca="1" si="34"/>
        <v>#REF!</v>
      </c>
      <c r="M267" s="1" t="e">
        <f t="shared" ca="1" si="36"/>
        <v>#REF!</v>
      </c>
      <c r="N267" s="1" t="e">
        <f t="shared" ca="1" si="37"/>
        <v>#REF!</v>
      </c>
      <c r="O267" s="1" t="e">
        <f t="shared" ca="1" si="38"/>
        <v>#REF!</v>
      </c>
      <c r="P267" s="1" t="e">
        <f t="shared" ca="1" si="39"/>
        <v>#REF!</v>
      </c>
    </row>
    <row r="268" spans="1:16">
      <c r="A268" s="7"/>
      <c r="B268" s="7"/>
      <c r="C268" s="2" t="s">
        <v>4313</v>
      </c>
      <c r="D268" s="7">
        <f t="shared" ca="1" si="40"/>
        <v>1</v>
      </c>
      <c r="E268" s="7" t="e">
        <f t="shared" ca="1" si="41"/>
        <v>#REF!</v>
      </c>
      <c r="F268" s="7" t="e">
        <f t="shared" ca="1" si="42"/>
        <v>#REF!</v>
      </c>
      <c r="G268" s="7" t="e">
        <f t="shared" ca="1" si="43"/>
        <v>#REF!</v>
      </c>
      <c r="H268" s="7"/>
      <c r="I268" s="7"/>
      <c r="J268" s="1" t="s">
        <v>1356</v>
      </c>
      <c r="K268" s="6" t="e">
        <f t="shared" ca="1" si="35"/>
        <v>#REF!</v>
      </c>
      <c r="L268" s="6" t="e">
        <f t="shared" ca="1" si="34"/>
        <v>#REF!</v>
      </c>
      <c r="M268" s="1" t="e">
        <f t="shared" ca="1" si="36"/>
        <v>#REF!</v>
      </c>
      <c r="N268" s="1" t="e">
        <f t="shared" ca="1" si="37"/>
        <v>#REF!</v>
      </c>
      <c r="O268" s="1" t="e">
        <f t="shared" ca="1" si="38"/>
        <v>#REF!</v>
      </c>
      <c r="P268" s="1" t="e">
        <f t="shared" ca="1" si="39"/>
        <v>#REF!</v>
      </c>
    </row>
    <row r="269" spans="1:16">
      <c r="A269" s="7"/>
      <c r="B269" s="7"/>
      <c r="C269" s="2" t="s">
        <v>4314</v>
      </c>
      <c r="D269" s="7">
        <f t="shared" ca="1" si="40"/>
        <v>1</v>
      </c>
      <c r="E269" s="7" t="e">
        <f t="shared" ca="1" si="41"/>
        <v>#REF!</v>
      </c>
      <c r="F269" s="7" t="e">
        <f t="shared" ca="1" si="42"/>
        <v>#REF!</v>
      </c>
      <c r="G269" s="7" t="e">
        <f t="shared" ca="1" si="43"/>
        <v>#REF!</v>
      </c>
      <c r="H269" s="7"/>
      <c r="I269" s="7"/>
      <c r="J269" s="1" t="s">
        <v>1356</v>
      </c>
      <c r="K269" s="6" t="e">
        <f t="shared" ca="1" si="35"/>
        <v>#REF!</v>
      </c>
      <c r="L269" s="6" t="e">
        <f t="shared" ca="1" si="34"/>
        <v>#REF!</v>
      </c>
      <c r="M269" s="1" t="e">
        <f t="shared" ca="1" si="36"/>
        <v>#REF!</v>
      </c>
      <c r="N269" s="1" t="e">
        <f t="shared" ca="1" si="37"/>
        <v>#REF!</v>
      </c>
      <c r="O269" s="1" t="e">
        <f t="shared" ca="1" si="38"/>
        <v>#REF!</v>
      </c>
      <c r="P269" s="1" t="e">
        <f t="shared" ca="1" si="39"/>
        <v>#REF!</v>
      </c>
    </row>
    <row r="270" spans="1:16">
      <c r="A270" s="7"/>
      <c r="B270" s="7"/>
      <c r="C270" s="2" t="s">
        <v>4315</v>
      </c>
      <c r="D270" s="7">
        <f t="shared" ca="1" si="40"/>
        <v>1</v>
      </c>
      <c r="E270" s="7" t="e">
        <f t="shared" ca="1" si="41"/>
        <v>#REF!</v>
      </c>
      <c r="F270" s="7" t="e">
        <f t="shared" ca="1" si="42"/>
        <v>#REF!</v>
      </c>
      <c r="G270" s="7" t="e">
        <f t="shared" ca="1" si="43"/>
        <v>#REF!</v>
      </c>
      <c r="H270" s="7"/>
      <c r="I270" s="7"/>
      <c r="J270" s="1" t="s">
        <v>1356</v>
      </c>
      <c r="K270" s="6" t="e">
        <f t="shared" ca="1" si="35"/>
        <v>#REF!</v>
      </c>
      <c r="L270" s="6" t="e">
        <f t="shared" ca="1" si="34"/>
        <v>#REF!</v>
      </c>
      <c r="M270" s="1" t="e">
        <f t="shared" ca="1" si="36"/>
        <v>#REF!</v>
      </c>
      <c r="N270" s="1" t="e">
        <f t="shared" ca="1" si="37"/>
        <v>#REF!</v>
      </c>
      <c r="O270" s="1" t="e">
        <f t="shared" ca="1" si="38"/>
        <v>#REF!</v>
      </c>
      <c r="P270" s="1" t="e">
        <f t="shared" ca="1" si="39"/>
        <v>#REF!</v>
      </c>
    </row>
    <row r="271" spans="1:16">
      <c r="A271" s="7"/>
      <c r="B271" s="7"/>
      <c r="C271" s="2" t="s">
        <v>4316</v>
      </c>
      <c r="D271" s="7">
        <f t="shared" ca="1" si="40"/>
        <v>1</v>
      </c>
      <c r="E271" s="7" t="e">
        <f t="shared" ca="1" si="41"/>
        <v>#REF!</v>
      </c>
      <c r="F271" s="7" t="e">
        <f t="shared" ca="1" si="42"/>
        <v>#REF!</v>
      </c>
      <c r="G271" s="7" t="e">
        <f t="shared" ca="1" si="43"/>
        <v>#REF!</v>
      </c>
      <c r="H271" s="7"/>
      <c r="I271" s="7"/>
      <c r="J271" s="1" t="s">
        <v>1356</v>
      </c>
      <c r="K271" s="6" t="e">
        <f t="shared" ca="1" si="35"/>
        <v>#REF!</v>
      </c>
      <c r="L271" s="6" t="e">
        <f t="shared" ca="1" si="34"/>
        <v>#REF!</v>
      </c>
      <c r="M271" s="1" t="e">
        <f t="shared" ca="1" si="36"/>
        <v>#REF!</v>
      </c>
      <c r="N271" s="1" t="e">
        <f t="shared" ca="1" si="37"/>
        <v>#REF!</v>
      </c>
      <c r="O271" s="1" t="e">
        <f t="shared" ca="1" si="38"/>
        <v>#REF!</v>
      </c>
      <c r="P271" s="1" t="e">
        <f t="shared" ca="1" si="39"/>
        <v>#REF!</v>
      </c>
    </row>
    <row r="272" spans="1:16">
      <c r="A272" s="7"/>
      <c r="B272" s="7"/>
      <c r="C272" s="2" t="s">
        <v>4317</v>
      </c>
      <c r="D272" s="7">
        <f t="shared" ca="1" si="40"/>
        <v>1</v>
      </c>
      <c r="E272" s="7" t="e">
        <f t="shared" ca="1" si="41"/>
        <v>#REF!</v>
      </c>
      <c r="F272" s="7" t="e">
        <f t="shared" ca="1" si="42"/>
        <v>#REF!</v>
      </c>
      <c r="G272" s="7" t="e">
        <f t="shared" ca="1" si="43"/>
        <v>#REF!</v>
      </c>
      <c r="H272" s="7"/>
      <c r="I272" s="7"/>
      <c r="J272" s="1" t="s">
        <v>1356</v>
      </c>
      <c r="K272" s="6" t="e">
        <f t="shared" ca="1" si="35"/>
        <v>#REF!</v>
      </c>
      <c r="L272" s="6" t="e">
        <f t="shared" ref="L272:L292" ca="1" si="44">CONCATENATE("$",IF(K272=$J$3,$L$3,$L$4),"$",O272,":","$",IF(K272=$J$3,$L$3,$L$4),"$",P272)</f>
        <v>#REF!</v>
      </c>
      <c r="M272" s="1" t="e">
        <f t="shared" ca="1" si="36"/>
        <v>#REF!</v>
      </c>
      <c r="N272" s="1" t="e">
        <f t="shared" ca="1" si="37"/>
        <v>#REF!</v>
      </c>
      <c r="O272" s="1" t="e">
        <f t="shared" ca="1" si="38"/>
        <v>#REF!</v>
      </c>
      <c r="P272" s="1" t="e">
        <f t="shared" ca="1" si="39"/>
        <v>#REF!</v>
      </c>
    </row>
    <row r="273" spans="1:16">
      <c r="A273" s="7"/>
      <c r="B273" s="7"/>
      <c r="C273" s="2" t="s">
        <v>4318</v>
      </c>
      <c r="D273" s="7">
        <f t="shared" ca="1" si="40"/>
        <v>1</v>
      </c>
      <c r="E273" s="7" t="e">
        <f t="shared" ca="1" si="41"/>
        <v>#REF!</v>
      </c>
      <c r="F273" s="7" t="e">
        <f t="shared" ca="1" si="42"/>
        <v>#REF!</v>
      </c>
      <c r="G273" s="7" t="e">
        <f t="shared" ca="1" si="43"/>
        <v>#REF!</v>
      </c>
      <c r="H273" s="7"/>
      <c r="I273" s="7"/>
      <c r="J273" s="1" t="s">
        <v>1356</v>
      </c>
      <c r="K273" s="6" t="e">
        <f t="shared" ref="K273:K293" ca="1" si="45">CONCATENATE("$",IF(J273=$J$3,$K$3,$K$4),"$",O273,":","$",IF(J273=$J$3,$K$3,$K$4),"$",P273)</f>
        <v>#REF!</v>
      </c>
      <c r="L273" s="6" t="e">
        <f t="shared" ca="1" si="44"/>
        <v>#REF!</v>
      </c>
      <c r="M273" s="1" t="e">
        <f t="shared" ca="1" si="36"/>
        <v>#REF!</v>
      </c>
      <c r="N273" s="1" t="e">
        <f t="shared" ref="N273:N293" ca="1" si="46">CONCATENATE("$",IF(J273=$J$3,$N$3,$N$4),"$",O273,":","$",IF(J273=$J$3,$N$3,$N$4),"$",P273)</f>
        <v>#REF!</v>
      </c>
      <c r="O273" s="1" t="e">
        <f t="shared" ca="1" si="38"/>
        <v>#REF!</v>
      </c>
      <c r="P273" s="1" t="e">
        <f t="shared" ref="P273:P293" ca="1" si="47">MATCH("*",INDIRECT(CONCATENATE("'",$J273,"'!","D",$O273+1,":","D65535"),TRUE),0)+O273-1</f>
        <v>#REF!</v>
      </c>
    </row>
    <row r="274" spans="1:16">
      <c r="B274" s="7"/>
      <c r="C274" s="2" t="s">
        <v>4319</v>
      </c>
      <c r="D274" s="7">
        <f t="shared" ca="1" si="40"/>
        <v>1</v>
      </c>
      <c r="E274" s="7" t="e">
        <f t="shared" ca="1" si="41"/>
        <v>#REF!</v>
      </c>
      <c r="F274" s="7" t="e">
        <f t="shared" ca="1" si="42"/>
        <v>#REF!</v>
      </c>
      <c r="G274" s="7" t="e">
        <f t="shared" ca="1" si="43"/>
        <v>#REF!</v>
      </c>
      <c r="H274" s="7"/>
      <c r="I274" s="7"/>
      <c r="J274" s="1" t="s">
        <v>1356</v>
      </c>
      <c r="K274" s="6" t="e">
        <f t="shared" ca="1" si="45"/>
        <v>#REF!</v>
      </c>
      <c r="L274" s="6" t="e">
        <f t="shared" ca="1" si="44"/>
        <v>#REF!</v>
      </c>
      <c r="M274" s="1" t="e">
        <f t="shared" ref="M274:M293" ca="1" si="48">CONCATENATE("$",IF(J274=$J$3,$M$3,$M$4),"$",O274,":","$",IF(J274=$J$3,$M$3,$M$4),"$",P274)</f>
        <v>#REF!</v>
      </c>
      <c r="N274" s="1" t="e">
        <f t="shared" ca="1" si="46"/>
        <v>#REF!</v>
      </c>
      <c r="O274" s="1" t="e">
        <f t="shared" ref="O274:O293" ca="1" si="49">MATCH($C274,INDIRECT(CONCATENATE("'",J274,"'!$D:$D")),0)</f>
        <v>#REF!</v>
      </c>
      <c r="P274" s="1" t="e">
        <f t="shared" ca="1" si="47"/>
        <v>#REF!</v>
      </c>
    </row>
    <row r="275" spans="1:16">
      <c r="C275" s="2" t="s">
        <v>4320</v>
      </c>
      <c r="D275" s="7">
        <f t="shared" ca="1" si="40"/>
        <v>1</v>
      </c>
      <c r="E275" s="7" t="e">
        <f t="shared" ca="1" si="41"/>
        <v>#REF!</v>
      </c>
      <c r="F275" s="7" t="e">
        <f t="shared" ca="1" si="42"/>
        <v>#REF!</v>
      </c>
      <c r="G275" s="7" t="e">
        <f t="shared" ca="1" si="43"/>
        <v>#REF!</v>
      </c>
      <c r="H275" s="7"/>
      <c r="I275" s="7"/>
      <c r="J275" s="1" t="s">
        <v>1356</v>
      </c>
      <c r="K275" s="6" t="e">
        <f t="shared" ca="1" si="45"/>
        <v>#REF!</v>
      </c>
      <c r="L275" s="6" t="e">
        <f t="shared" ca="1" si="44"/>
        <v>#REF!</v>
      </c>
      <c r="M275" s="1" t="e">
        <f t="shared" ca="1" si="48"/>
        <v>#REF!</v>
      </c>
      <c r="N275" s="1" t="e">
        <f t="shared" ca="1" si="46"/>
        <v>#REF!</v>
      </c>
      <c r="O275" s="1" t="e">
        <f t="shared" ca="1" si="49"/>
        <v>#REF!</v>
      </c>
      <c r="P275" s="1" t="e">
        <f t="shared" ca="1" si="47"/>
        <v>#REF!</v>
      </c>
    </row>
    <row r="276" spans="1:16">
      <c r="C276" s="2" t="s">
        <v>4321</v>
      </c>
      <c r="D276" s="7">
        <f t="shared" ca="1" si="40"/>
        <v>1</v>
      </c>
      <c r="E276" s="7" t="e">
        <f t="shared" ca="1" si="41"/>
        <v>#REF!</v>
      </c>
      <c r="F276" s="7" t="e">
        <f t="shared" ca="1" si="42"/>
        <v>#REF!</v>
      </c>
      <c r="G276" s="7" t="e">
        <f t="shared" ca="1" si="43"/>
        <v>#REF!</v>
      </c>
      <c r="H276" s="7"/>
      <c r="I276" s="7"/>
      <c r="J276" s="1" t="s">
        <v>1356</v>
      </c>
      <c r="K276" s="6" t="e">
        <f t="shared" ca="1" si="45"/>
        <v>#REF!</v>
      </c>
      <c r="L276" s="6" t="e">
        <f t="shared" ca="1" si="44"/>
        <v>#REF!</v>
      </c>
      <c r="M276" s="1" t="e">
        <f t="shared" ca="1" si="48"/>
        <v>#REF!</v>
      </c>
      <c r="N276" s="1" t="e">
        <f t="shared" ca="1" si="46"/>
        <v>#REF!</v>
      </c>
      <c r="O276" s="1" t="e">
        <f t="shared" ca="1" si="49"/>
        <v>#REF!</v>
      </c>
      <c r="P276" s="1" t="e">
        <f t="shared" ca="1" si="47"/>
        <v>#REF!</v>
      </c>
    </row>
    <row r="277" spans="1:16">
      <c r="C277" s="2" t="s">
        <v>4322</v>
      </c>
      <c r="D277" s="7">
        <f t="shared" ca="1" si="40"/>
        <v>1</v>
      </c>
      <c r="E277" s="7" t="e">
        <f t="shared" ca="1" si="41"/>
        <v>#REF!</v>
      </c>
      <c r="F277" s="7" t="e">
        <f t="shared" ca="1" si="42"/>
        <v>#REF!</v>
      </c>
      <c r="G277" s="7" t="e">
        <f t="shared" ca="1" si="43"/>
        <v>#REF!</v>
      </c>
      <c r="H277" s="7"/>
      <c r="I277" s="7"/>
      <c r="J277" s="1" t="s">
        <v>1356</v>
      </c>
      <c r="K277" s="6" t="e">
        <f t="shared" ca="1" si="45"/>
        <v>#REF!</v>
      </c>
      <c r="L277" s="6" t="e">
        <f t="shared" ca="1" si="44"/>
        <v>#REF!</v>
      </c>
      <c r="M277" s="1" t="e">
        <f t="shared" ca="1" si="48"/>
        <v>#REF!</v>
      </c>
      <c r="N277" s="1" t="e">
        <f t="shared" ca="1" si="46"/>
        <v>#REF!</v>
      </c>
      <c r="O277" s="1" t="e">
        <f t="shared" ca="1" si="49"/>
        <v>#REF!</v>
      </c>
      <c r="P277" s="1" t="e">
        <f t="shared" ca="1" si="47"/>
        <v>#REF!</v>
      </c>
    </row>
    <row r="278" spans="1:16">
      <c r="C278" s="2" t="s">
        <v>4323</v>
      </c>
      <c r="D278" s="7">
        <f t="shared" ca="1" si="40"/>
        <v>1</v>
      </c>
      <c r="E278" s="7" t="e">
        <f t="shared" ca="1" si="41"/>
        <v>#REF!</v>
      </c>
      <c r="F278" s="7" t="e">
        <f t="shared" ca="1" si="42"/>
        <v>#REF!</v>
      </c>
      <c r="G278" s="7" t="e">
        <f t="shared" ca="1" si="43"/>
        <v>#REF!</v>
      </c>
      <c r="H278" s="7"/>
      <c r="I278" s="7"/>
      <c r="J278" s="1" t="s">
        <v>1356</v>
      </c>
      <c r="K278" s="6" t="e">
        <f t="shared" ca="1" si="45"/>
        <v>#REF!</v>
      </c>
      <c r="L278" s="6" t="e">
        <f t="shared" ca="1" si="44"/>
        <v>#REF!</v>
      </c>
      <c r="M278" s="1" t="e">
        <f t="shared" ca="1" si="48"/>
        <v>#REF!</v>
      </c>
      <c r="N278" s="1" t="e">
        <f t="shared" ca="1" si="46"/>
        <v>#REF!</v>
      </c>
      <c r="O278" s="1" t="e">
        <f t="shared" ca="1" si="49"/>
        <v>#REF!</v>
      </c>
      <c r="P278" s="1" t="e">
        <f t="shared" ca="1" si="47"/>
        <v>#REF!</v>
      </c>
    </row>
    <row r="279" spans="1:16">
      <c r="C279" s="2" t="s">
        <v>4324</v>
      </c>
      <c r="D279" s="7">
        <f t="shared" ca="1" si="40"/>
        <v>1</v>
      </c>
      <c r="E279" s="7" t="e">
        <f t="shared" ca="1" si="41"/>
        <v>#REF!</v>
      </c>
      <c r="F279" s="7" t="e">
        <f t="shared" ca="1" si="42"/>
        <v>#REF!</v>
      </c>
      <c r="G279" s="7" t="e">
        <f t="shared" ca="1" si="43"/>
        <v>#REF!</v>
      </c>
      <c r="H279" s="7"/>
      <c r="I279" s="7"/>
      <c r="J279" s="1" t="s">
        <v>1356</v>
      </c>
      <c r="K279" s="6" t="e">
        <f t="shared" ca="1" si="45"/>
        <v>#REF!</v>
      </c>
      <c r="L279" s="6" t="e">
        <f t="shared" ca="1" si="44"/>
        <v>#REF!</v>
      </c>
      <c r="M279" s="1" t="e">
        <f t="shared" ca="1" si="48"/>
        <v>#REF!</v>
      </c>
      <c r="N279" s="1" t="e">
        <f t="shared" ca="1" si="46"/>
        <v>#REF!</v>
      </c>
      <c r="O279" s="1" t="e">
        <f t="shared" ca="1" si="49"/>
        <v>#REF!</v>
      </c>
      <c r="P279" s="1" t="e">
        <f t="shared" ca="1" si="47"/>
        <v>#REF!</v>
      </c>
    </row>
    <row r="280" spans="1:16">
      <c r="C280" s="2" t="s">
        <v>4325</v>
      </c>
      <c r="D280" s="7">
        <f t="shared" ca="1" si="40"/>
        <v>1</v>
      </c>
      <c r="E280" s="7" t="e">
        <f t="shared" ca="1" si="41"/>
        <v>#REF!</v>
      </c>
      <c r="F280" s="7" t="e">
        <f t="shared" ca="1" si="42"/>
        <v>#REF!</v>
      </c>
      <c r="G280" s="7" t="e">
        <f t="shared" ca="1" si="43"/>
        <v>#REF!</v>
      </c>
      <c r="H280" s="7"/>
      <c r="I280" s="7"/>
      <c r="J280" s="1" t="s">
        <v>1356</v>
      </c>
      <c r="K280" s="6" t="e">
        <f t="shared" ca="1" si="45"/>
        <v>#REF!</v>
      </c>
      <c r="L280" s="6" t="e">
        <f t="shared" ca="1" si="44"/>
        <v>#REF!</v>
      </c>
      <c r="M280" s="1" t="e">
        <f t="shared" ca="1" si="48"/>
        <v>#REF!</v>
      </c>
      <c r="N280" s="1" t="e">
        <f t="shared" ca="1" si="46"/>
        <v>#REF!</v>
      </c>
      <c r="O280" s="1" t="e">
        <f t="shared" ca="1" si="49"/>
        <v>#REF!</v>
      </c>
      <c r="P280" s="1" t="e">
        <f t="shared" ca="1" si="47"/>
        <v>#REF!</v>
      </c>
    </row>
    <row r="281" spans="1:16">
      <c r="C281" s="2" t="s">
        <v>4326</v>
      </c>
      <c r="D281" s="7">
        <f t="shared" ca="1" si="40"/>
        <v>1</v>
      </c>
      <c r="E281" s="7" t="e">
        <f t="shared" ca="1" si="41"/>
        <v>#REF!</v>
      </c>
      <c r="F281" s="7" t="e">
        <f t="shared" ca="1" si="42"/>
        <v>#REF!</v>
      </c>
      <c r="G281" s="7" t="e">
        <f t="shared" ca="1" si="43"/>
        <v>#REF!</v>
      </c>
      <c r="H281" s="7"/>
      <c r="I281" s="7"/>
      <c r="J281" s="1" t="s">
        <v>1356</v>
      </c>
      <c r="K281" s="6" t="e">
        <f t="shared" ca="1" si="45"/>
        <v>#REF!</v>
      </c>
      <c r="L281" s="6" t="e">
        <f t="shared" ca="1" si="44"/>
        <v>#REF!</v>
      </c>
      <c r="M281" s="1" t="e">
        <f t="shared" ca="1" si="48"/>
        <v>#REF!</v>
      </c>
      <c r="N281" s="1" t="e">
        <f t="shared" ca="1" si="46"/>
        <v>#REF!</v>
      </c>
      <c r="O281" s="1" t="e">
        <f t="shared" ca="1" si="49"/>
        <v>#REF!</v>
      </c>
      <c r="P281" s="1" t="e">
        <f t="shared" ca="1" si="47"/>
        <v>#REF!</v>
      </c>
    </row>
    <row r="282" spans="1:16">
      <c r="C282" s="2" t="s">
        <v>4327</v>
      </c>
      <c r="D282" s="7">
        <f t="shared" ca="1" si="40"/>
        <v>1</v>
      </c>
      <c r="E282" s="7" t="e">
        <f t="shared" ca="1" si="41"/>
        <v>#REF!</v>
      </c>
      <c r="F282" s="7" t="e">
        <f t="shared" ca="1" si="42"/>
        <v>#REF!</v>
      </c>
      <c r="G282" s="7" t="e">
        <f t="shared" ca="1" si="43"/>
        <v>#REF!</v>
      </c>
      <c r="H282" s="7"/>
      <c r="I282" s="7"/>
      <c r="J282" s="1" t="s">
        <v>1356</v>
      </c>
      <c r="K282" s="6" t="e">
        <f t="shared" ca="1" si="45"/>
        <v>#REF!</v>
      </c>
      <c r="L282" s="6" t="e">
        <f t="shared" ca="1" si="44"/>
        <v>#REF!</v>
      </c>
      <c r="M282" s="1" t="e">
        <f t="shared" ca="1" si="48"/>
        <v>#REF!</v>
      </c>
      <c r="N282" s="1" t="e">
        <f t="shared" ca="1" si="46"/>
        <v>#REF!</v>
      </c>
      <c r="O282" s="1" t="e">
        <f t="shared" ca="1" si="49"/>
        <v>#REF!</v>
      </c>
      <c r="P282" s="1" t="e">
        <f t="shared" ca="1" si="47"/>
        <v>#REF!</v>
      </c>
    </row>
    <row r="283" spans="1:16">
      <c r="C283" s="2" t="s">
        <v>4328</v>
      </c>
      <c r="D283" s="7">
        <f t="shared" ca="1" si="40"/>
        <v>1</v>
      </c>
      <c r="E283" s="7" t="e">
        <f t="shared" ca="1" si="41"/>
        <v>#REF!</v>
      </c>
      <c r="F283" s="7" t="e">
        <f t="shared" ca="1" si="42"/>
        <v>#REF!</v>
      </c>
      <c r="G283" s="7" t="e">
        <f t="shared" ca="1" si="43"/>
        <v>#REF!</v>
      </c>
      <c r="H283" s="7"/>
      <c r="I283" s="7"/>
      <c r="J283" s="1" t="s">
        <v>1356</v>
      </c>
      <c r="K283" s="6" t="e">
        <f t="shared" ca="1" si="45"/>
        <v>#REF!</v>
      </c>
      <c r="L283" s="6" t="e">
        <f t="shared" ca="1" si="44"/>
        <v>#REF!</v>
      </c>
      <c r="M283" s="1" t="e">
        <f t="shared" ca="1" si="48"/>
        <v>#REF!</v>
      </c>
      <c r="N283" s="1" t="e">
        <f t="shared" ca="1" si="46"/>
        <v>#REF!</v>
      </c>
      <c r="O283" s="1" t="e">
        <f t="shared" ca="1" si="49"/>
        <v>#REF!</v>
      </c>
      <c r="P283" s="1" t="e">
        <f t="shared" ca="1" si="47"/>
        <v>#REF!</v>
      </c>
    </row>
    <row r="284" spans="1:16">
      <c r="C284" s="2" t="s">
        <v>4329</v>
      </c>
      <c r="D284" s="7">
        <f t="shared" ca="1" si="40"/>
        <v>1</v>
      </c>
      <c r="E284" s="7" t="e">
        <f t="shared" ca="1" si="41"/>
        <v>#REF!</v>
      </c>
      <c r="F284" s="7" t="e">
        <f t="shared" ca="1" si="42"/>
        <v>#REF!</v>
      </c>
      <c r="G284" s="7" t="e">
        <f t="shared" ca="1" si="43"/>
        <v>#REF!</v>
      </c>
      <c r="H284" s="7"/>
      <c r="I284" s="7"/>
      <c r="J284" s="1" t="s">
        <v>1356</v>
      </c>
      <c r="K284" s="6" t="e">
        <f t="shared" ca="1" si="45"/>
        <v>#REF!</v>
      </c>
      <c r="L284" s="6" t="e">
        <f t="shared" ca="1" si="44"/>
        <v>#REF!</v>
      </c>
      <c r="M284" s="1" t="e">
        <f t="shared" ca="1" si="48"/>
        <v>#REF!</v>
      </c>
      <c r="N284" s="1" t="e">
        <f t="shared" ca="1" si="46"/>
        <v>#REF!</v>
      </c>
      <c r="O284" s="1" t="e">
        <f t="shared" ca="1" si="49"/>
        <v>#REF!</v>
      </c>
      <c r="P284" s="1" t="e">
        <f t="shared" ca="1" si="47"/>
        <v>#REF!</v>
      </c>
    </row>
    <row r="285" spans="1:16">
      <c r="C285" s="2" t="s">
        <v>818</v>
      </c>
      <c r="D285" s="7">
        <f t="shared" ca="1" si="40"/>
        <v>1</v>
      </c>
      <c r="E285" s="7" t="e">
        <f t="shared" ca="1" si="41"/>
        <v>#REF!</v>
      </c>
      <c r="F285" s="7" t="e">
        <f t="shared" ca="1" si="42"/>
        <v>#REF!</v>
      </c>
      <c r="G285" s="7" t="e">
        <f t="shared" ca="1" si="43"/>
        <v>#REF!</v>
      </c>
      <c r="H285" s="7"/>
      <c r="I285" s="7"/>
      <c r="J285" s="1" t="s">
        <v>1356</v>
      </c>
      <c r="K285" s="6" t="e">
        <f t="shared" ca="1" si="45"/>
        <v>#REF!</v>
      </c>
      <c r="L285" s="6" t="e">
        <f t="shared" ca="1" si="44"/>
        <v>#REF!</v>
      </c>
      <c r="M285" s="1" t="e">
        <f t="shared" ca="1" si="48"/>
        <v>#REF!</v>
      </c>
      <c r="N285" s="1" t="e">
        <f t="shared" ca="1" si="46"/>
        <v>#REF!</v>
      </c>
      <c r="O285" s="1" t="e">
        <f t="shared" ca="1" si="49"/>
        <v>#REF!</v>
      </c>
      <c r="P285" s="1" t="e">
        <f t="shared" ca="1" si="47"/>
        <v>#REF!</v>
      </c>
    </row>
    <row r="286" spans="1:16">
      <c r="C286" s="2" t="s">
        <v>1355</v>
      </c>
      <c r="D286" s="7">
        <f t="shared" ca="1" si="40"/>
        <v>1</v>
      </c>
      <c r="E286" s="7" t="e">
        <f t="shared" ca="1" si="41"/>
        <v>#REF!</v>
      </c>
      <c r="F286" s="7" t="e">
        <f t="shared" ca="1" si="42"/>
        <v>#REF!</v>
      </c>
      <c r="G286" s="7" t="e">
        <f t="shared" ca="1" si="43"/>
        <v>#REF!</v>
      </c>
      <c r="H286" s="7"/>
      <c r="I286" s="7"/>
      <c r="J286" s="1" t="s">
        <v>1356</v>
      </c>
      <c r="K286" s="6" t="e">
        <f t="shared" ca="1" si="45"/>
        <v>#REF!</v>
      </c>
      <c r="L286" s="6" t="e">
        <f t="shared" ca="1" si="44"/>
        <v>#REF!</v>
      </c>
      <c r="M286" s="1" t="e">
        <f t="shared" ca="1" si="48"/>
        <v>#REF!</v>
      </c>
      <c r="N286" s="1" t="e">
        <f t="shared" ca="1" si="46"/>
        <v>#REF!</v>
      </c>
      <c r="O286" s="1" t="e">
        <f t="shared" ca="1" si="49"/>
        <v>#REF!</v>
      </c>
      <c r="P286" s="1" t="e">
        <f t="shared" ca="1" si="47"/>
        <v>#REF!</v>
      </c>
    </row>
    <row r="287" spans="1:16">
      <c r="C287" s="2" t="s">
        <v>822</v>
      </c>
      <c r="D287" s="7">
        <f t="shared" ca="1" si="40"/>
        <v>1</v>
      </c>
      <c r="E287" s="7" t="e">
        <f t="shared" ca="1" si="41"/>
        <v>#REF!</v>
      </c>
      <c r="F287" s="7" t="e">
        <f t="shared" ca="1" si="42"/>
        <v>#REF!</v>
      </c>
      <c r="G287" s="7" t="e">
        <f t="shared" ca="1" si="43"/>
        <v>#REF!</v>
      </c>
      <c r="H287" s="7"/>
      <c r="I287" s="7"/>
      <c r="J287" s="1" t="s">
        <v>1356</v>
      </c>
      <c r="K287" s="6" t="e">
        <f t="shared" ca="1" si="45"/>
        <v>#REF!</v>
      </c>
      <c r="L287" s="6" t="e">
        <f t="shared" ca="1" si="44"/>
        <v>#REF!</v>
      </c>
      <c r="M287" s="1" t="e">
        <f t="shared" ca="1" si="48"/>
        <v>#REF!</v>
      </c>
      <c r="N287" s="1" t="e">
        <f t="shared" ca="1" si="46"/>
        <v>#REF!</v>
      </c>
      <c r="O287" s="1" t="e">
        <f t="shared" ca="1" si="49"/>
        <v>#REF!</v>
      </c>
      <c r="P287" s="1" t="e">
        <f t="shared" ca="1" si="47"/>
        <v>#REF!</v>
      </c>
    </row>
    <row r="288" spans="1:16">
      <c r="C288" s="2" t="s">
        <v>822</v>
      </c>
      <c r="D288" s="7">
        <f t="shared" ca="1" si="40"/>
        <v>1</v>
      </c>
      <c r="E288" s="7" t="e">
        <f t="shared" ca="1" si="41"/>
        <v>#REF!</v>
      </c>
      <c r="F288" s="7" t="e">
        <f t="shared" ca="1" si="42"/>
        <v>#REF!</v>
      </c>
      <c r="G288" s="7" t="e">
        <f t="shared" ca="1" si="43"/>
        <v>#REF!</v>
      </c>
      <c r="H288" s="7"/>
      <c r="I288" s="7"/>
      <c r="J288" s="1" t="s">
        <v>1356</v>
      </c>
      <c r="K288" s="6" t="e">
        <f t="shared" ca="1" si="45"/>
        <v>#REF!</v>
      </c>
      <c r="L288" s="6" t="e">
        <f t="shared" ca="1" si="44"/>
        <v>#REF!</v>
      </c>
      <c r="M288" s="1" t="e">
        <f t="shared" ca="1" si="48"/>
        <v>#REF!</v>
      </c>
      <c r="N288" s="1" t="e">
        <f t="shared" ca="1" si="46"/>
        <v>#REF!</v>
      </c>
      <c r="O288" s="1" t="e">
        <f t="shared" ca="1" si="49"/>
        <v>#REF!</v>
      </c>
      <c r="P288" s="1" t="e">
        <f t="shared" ca="1" si="47"/>
        <v>#REF!</v>
      </c>
    </row>
    <row r="289" spans="3:16">
      <c r="C289" s="2" t="s">
        <v>4330</v>
      </c>
      <c r="D289" s="7">
        <f t="shared" ca="1" si="40"/>
        <v>1</v>
      </c>
      <c r="E289" s="7" t="e">
        <f t="shared" ca="1" si="41"/>
        <v>#REF!</v>
      </c>
      <c r="F289" s="7" t="e">
        <f t="shared" ca="1" si="42"/>
        <v>#REF!</v>
      </c>
      <c r="G289" s="7" t="e">
        <f t="shared" ca="1" si="43"/>
        <v>#REF!</v>
      </c>
      <c r="H289" s="7"/>
      <c r="I289" s="7"/>
      <c r="J289" s="1" t="s">
        <v>1356</v>
      </c>
      <c r="K289" s="6" t="e">
        <f t="shared" ca="1" si="45"/>
        <v>#REF!</v>
      </c>
      <c r="L289" s="6" t="e">
        <f t="shared" ca="1" si="44"/>
        <v>#REF!</v>
      </c>
      <c r="M289" s="1" t="e">
        <f t="shared" ca="1" si="48"/>
        <v>#REF!</v>
      </c>
      <c r="N289" s="1" t="e">
        <f t="shared" ca="1" si="46"/>
        <v>#REF!</v>
      </c>
      <c r="O289" s="1" t="e">
        <f t="shared" ca="1" si="49"/>
        <v>#REF!</v>
      </c>
      <c r="P289" s="1" t="e">
        <f t="shared" ca="1" si="47"/>
        <v>#REF!</v>
      </c>
    </row>
    <row r="290" spans="3:16">
      <c r="C290" s="2" t="s">
        <v>4331</v>
      </c>
      <c r="D290" s="7">
        <f t="shared" ca="1" si="40"/>
        <v>1</v>
      </c>
      <c r="E290" s="7" t="e">
        <f t="shared" ca="1" si="41"/>
        <v>#REF!</v>
      </c>
      <c r="F290" s="7" t="e">
        <f t="shared" ca="1" si="42"/>
        <v>#REF!</v>
      </c>
      <c r="G290" s="7" t="e">
        <f t="shared" ca="1" si="43"/>
        <v>#REF!</v>
      </c>
      <c r="H290" s="7"/>
      <c r="I290" s="7"/>
      <c r="J290" s="1" t="s">
        <v>1356</v>
      </c>
      <c r="K290" s="6" t="e">
        <f t="shared" ca="1" si="45"/>
        <v>#REF!</v>
      </c>
      <c r="L290" s="6" t="e">
        <f t="shared" ca="1" si="44"/>
        <v>#REF!</v>
      </c>
      <c r="M290" s="1" t="e">
        <f t="shared" ca="1" si="48"/>
        <v>#REF!</v>
      </c>
      <c r="N290" s="1" t="e">
        <f t="shared" ca="1" si="46"/>
        <v>#REF!</v>
      </c>
      <c r="O290" s="1" t="e">
        <f t="shared" ca="1" si="49"/>
        <v>#REF!</v>
      </c>
      <c r="P290" s="1" t="e">
        <f t="shared" ca="1" si="47"/>
        <v>#REF!</v>
      </c>
    </row>
    <row r="291" spans="3:16">
      <c r="C291" s="2" t="s">
        <v>1171</v>
      </c>
      <c r="D291" s="7">
        <f t="shared" ca="1" si="40"/>
        <v>1</v>
      </c>
      <c r="E291" s="7" t="e">
        <f t="shared" ca="1" si="41"/>
        <v>#REF!</v>
      </c>
      <c r="F291" s="7" t="e">
        <f t="shared" ca="1" si="42"/>
        <v>#REF!</v>
      </c>
      <c r="G291" s="7" t="e">
        <f t="shared" ca="1" si="43"/>
        <v>#REF!</v>
      </c>
      <c r="H291" s="7"/>
      <c r="I291" s="7"/>
      <c r="J291" s="1" t="s">
        <v>1356</v>
      </c>
      <c r="K291" s="6" t="e">
        <f t="shared" ca="1" si="45"/>
        <v>#REF!</v>
      </c>
      <c r="L291" s="6" t="e">
        <f t="shared" ca="1" si="44"/>
        <v>#REF!</v>
      </c>
      <c r="M291" s="1" t="e">
        <f t="shared" ca="1" si="48"/>
        <v>#REF!</v>
      </c>
      <c r="N291" s="1" t="e">
        <f t="shared" ca="1" si="46"/>
        <v>#REF!</v>
      </c>
      <c r="O291" s="1" t="e">
        <f t="shared" ca="1" si="49"/>
        <v>#REF!</v>
      </c>
      <c r="P291" s="1" t="e">
        <f t="shared" ca="1" si="47"/>
        <v>#REF!</v>
      </c>
    </row>
    <row r="292" spans="3:16">
      <c r="C292" s="2" t="s">
        <v>4332</v>
      </c>
      <c r="D292" s="7">
        <f t="shared" ca="1" si="40"/>
        <v>1</v>
      </c>
      <c r="E292" s="7" t="e">
        <f t="shared" ca="1" si="41"/>
        <v>#REF!</v>
      </c>
      <c r="F292" s="7" t="e">
        <f t="shared" ca="1" si="42"/>
        <v>#REF!</v>
      </c>
      <c r="G292" s="7" t="e">
        <f t="shared" ca="1" si="43"/>
        <v>#REF!</v>
      </c>
      <c r="H292" s="7"/>
      <c r="I292" s="7"/>
      <c r="J292" s="1" t="s">
        <v>1356</v>
      </c>
      <c r="K292" s="6" t="e">
        <f t="shared" ca="1" si="45"/>
        <v>#REF!</v>
      </c>
      <c r="L292" s="6" t="e">
        <f t="shared" ca="1" si="44"/>
        <v>#REF!</v>
      </c>
      <c r="M292" s="1" t="e">
        <f t="shared" ca="1" si="48"/>
        <v>#REF!</v>
      </c>
      <c r="N292" s="1" t="e">
        <f t="shared" ca="1" si="46"/>
        <v>#REF!</v>
      </c>
      <c r="O292" s="1" t="e">
        <f t="shared" ca="1" si="49"/>
        <v>#REF!</v>
      </c>
      <c r="P292" s="1" t="e">
        <f t="shared" ca="1" si="47"/>
        <v>#REF!</v>
      </c>
    </row>
    <row r="293" spans="3:16">
      <c r="C293" s="2" t="s">
        <v>1182</v>
      </c>
      <c r="D293" s="7">
        <f t="shared" ca="1" si="40"/>
        <v>1</v>
      </c>
      <c r="E293" s="7" t="e">
        <f t="shared" ca="1" si="41"/>
        <v>#REF!</v>
      </c>
      <c r="F293" s="7" t="e">
        <f t="shared" ca="1" si="42"/>
        <v>#REF!</v>
      </c>
      <c r="G293" s="7" t="e">
        <f t="shared" ca="1" si="43"/>
        <v>#REF!</v>
      </c>
      <c r="H293" s="7"/>
      <c r="I293" s="7"/>
      <c r="J293" s="1" t="s">
        <v>1356</v>
      </c>
      <c r="K293" s="6" t="e">
        <f t="shared" ca="1" si="45"/>
        <v>#REF!</v>
      </c>
      <c r="L293" s="6" t="e">
        <f ca="1">CONCATENATE("$",IF(K293=$J$3,$L$3,$L$4),"$",O293,":","$",IF(K293=$J$3,$L$3,$L$4),"$",P293)</f>
        <v>#REF!</v>
      </c>
      <c r="M293" s="1" t="e">
        <f t="shared" ca="1" si="48"/>
        <v>#REF!</v>
      </c>
      <c r="N293" s="1" t="e">
        <f t="shared" ca="1" si="46"/>
        <v>#REF!</v>
      </c>
      <c r="O293" s="1" t="e">
        <f t="shared" ca="1" si="49"/>
        <v>#REF!</v>
      </c>
      <c r="P293" s="1" t="e">
        <f t="shared" ca="1" si="47"/>
        <v>#REF!</v>
      </c>
    </row>
    <row r="295" spans="3:16">
      <c r="D295" s="2">
        <f ca="1">SUM(D6:D293)</f>
        <v>277</v>
      </c>
      <c r="E295" s="2" t="e">
        <f ca="1">SUM(E6:E293)</f>
        <v>#REF!</v>
      </c>
      <c r="F295" s="2" t="e">
        <f ca="1">SUM(F6:F293)</f>
        <v>#REF!</v>
      </c>
      <c r="G295" s="2" t="e">
        <f ca="1">SUM(G6:G293)</f>
        <v>#REF!</v>
      </c>
    </row>
    <row r="296" spans="3:16">
      <c r="G296" s="8" t="e">
        <f ca="1">E295/D295</f>
        <v>#REF!</v>
      </c>
    </row>
    <row r="297" spans="3:16">
      <c r="G297" s="8" t="e">
        <f ca="1">F295/E295</f>
        <v>#REF!</v>
      </c>
    </row>
  </sheetData>
  <phoneticPr fontId="2"/>
  <conditionalFormatting sqref="C6:C34 C39:C191 C199:C293">
    <cfRule type="expression" dxfId="12" priority="13">
      <formula>$D6&lt;&gt;$E6</formula>
    </cfRule>
  </conditionalFormatting>
  <conditionalFormatting sqref="C33">
    <cfRule type="expression" dxfId="11" priority="12">
      <formula>$D33&lt;$E33</formula>
    </cfRule>
  </conditionalFormatting>
  <conditionalFormatting sqref="C56">
    <cfRule type="expression" dxfId="10" priority="11">
      <formula>$D56&lt;$E56</formula>
    </cfRule>
  </conditionalFormatting>
  <conditionalFormatting sqref="C116">
    <cfRule type="expression" dxfId="9" priority="10">
      <formula>$D116&lt;$E116</formula>
    </cfRule>
  </conditionalFormatting>
  <conditionalFormatting sqref="C191">
    <cfRule type="expression" dxfId="8" priority="9">
      <formula>$D191&lt;$E191</formula>
    </cfRule>
  </conditionalFormatting>
  <conditionalFormatting sqref="C92">
    <cfRule type="expression" dxfId="7" priority="8">
      <formula>$D92&lt;$E92</formula>
    </cfRule>
  </conditionalFormatting>
  <conditionalFormatting sqref="C35:C38">
    <cfRule type="expression" dxfId="6" priority="7">
      <formula>$D35&lt;&gt;$E35</formula>
    </cfRule>
  </conditionalFormatting>
  <conditionalFormatting sqref="C37">
    <cfRule type="expression" dxfId="5" priority="6">
      <formula>$D37&lt;$E37</formula>
    </cfRule>
  </conditionalFormatting>
  <conditionalFormatting sqref="C192:C194 C198">
    <cfRule type="expression" dxfId="4" priority="5">
      <formula>$D192&lt;&gt;$E192</formula>
    </cfRule>
  </conditionalFormatting>
  <conditionalFormatting sqref="C194">
    <cfRule type="expression" dxfId="3" priority="4">
      <formula>$D194&lt;$E194</formula>
    </cfRule>
  </conditionalFormatting>
  <conditionalFormatting sqref="C196">
    <cfRule type="expression" dxfId="2" priority="3">
      <formula>$D196&lt;&gt;$E196</formula>
    </cfRule>
  </conditionalFormatting>
  <conditionalFormatting sqref="C195">
    <cfRule type="expression" dxfId="1" priority="2">
      <formula>$D195&lt;&gt;$E195</formula>
    </cfRule>
  </conditionalFormatting>
  <conditionalFormatting sqref="C197">
    <cfRule type="expression" dxfId="0" priority="1">
      <formula>$D197&lt;&gt;$E197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2013"/>
  <sheetViews>
    <sheetView tabSelected="1" zoomScale="85" zoomScaleNormal="85" workbookViewId="0">
      <selection activeCell="G37" sqref="G37"/>
    </sheetView>
  </sheetViews>
  <sheetFormatPr defaultColWidth="9" defaultRowHeight="10.8"/>
  <cols>
    <col min="1" max="1" width="1.6640625" style="4" customWidth="1"/>
    <col min="2" max="2" width="53.6640625" style="4" customWidth="1"/>
    <col min="3" max="3" width="32.6640625" style="4" customWidth="1"/>
    <col min="4" max="16384" width="9" style="4"/>
  </cols>
  <sheetData>
    <row r="1" spans="1:3" ht="13.2">
      <c r="A1" s="3" t="s">
        <v>1358</v>
      </c>
    </row>
    <row r="2" spans="1:3" s="3" customFormat="1" ht="13.2"/>
    <row r="3" spans="1:3">
      <c r="B3" s="5" t="s">
        <v>1359</v>
      </c>
      <c r="C3" s="5" t="s">
        <v>1360</v>
      </c>
    </row>
    <row r="4" spans="1:3">
      <c r="B4" s="4" t="s">
        <v>1361</v>
      </c>
      <c r="C4" s="4" t="s">
        <v>1362</v>
      </c>
    </row>
    <row r="5" spans="1:3">
      <c r="B5" s="4" t="s">
        <v>256</v>
      </c>
      <c r="C5" s="4" t="s">
        <v>1363</v>
      </c>
    </row>
    <row r="6" spans="1:3">
      <c r="B6" s="4" t="s">
        <v>835</v>
      </c>
      <c r="C6" s="4" t="s">
        <v>836</v>
      </c>
    </row>
    <row r="7" spans="1:3">
      <c r="B7" s="4" t="s">
        <v>1364</v>
      </c>
      <c r="C7" s="4" t="s">
        <v>753</v>
      </c>
    </row>
    <row r="8" spans="1:3">
      <c r="B8" s="4" t="s">
        <v>1365</v>
      </c>
      <c r="C8" s="4" t="s">
        <v>754</v>
      </c>
    </row>
    <row r="9" spans="1:3">
      <c r="B9" s="4" t="s">
        <v>1366</v>
      </c>
      <c r="C9" s="4" t="s">
        <v>755</v>
      </c>
    </row>
    <row r="10" spans="1:3">
      <c r="B10" s="4" t="s">
        <v>1</v>
      </c>
      <c r="C10" s="4" t="s">
        <v>756</v>
      </c>
    </row>
    <row r="11" spans="1:3">
      <c r="B11" s="4" t="s">
        <v>2</v>
      </c>
      <c r="C11" s="4" t="s">
        <v>757</v>
      </c>
    </row>
    <row r="12" spans="1:3">
      <c r="B12" s="4" t="s">
        <v>1367</v>
      </c>
      <c r="C12" s="4" t="s">
        <v>837</v>
      </c>
    </row>
    <row r="13" spans="1:3">
      <c r="B13" s="4" t="s">
        <v>1368</v>
      </c>
      <c r="C13" s="4" t="s">
        <v>838</v>
      </c>
    </row>
    <row r="14" spans="1:3">
      <c r="B14" s="4" t="s">
        <v>1369</v>
      </c>
      <c r="C14" s="4" t="s">
        <v>839</v>
      </c>
    </row>
    <row r="15" spans="1:3">
      <c r="B15" s="4" t="s">
        <v>1370</v>
      </c>
      <c r="C15" s="4" t="s">
        <v>840</v>
      </c>
    </row>
    <row r="16" spans="1:3">
      <c r="B16" s="4" t="s">
        <v>841</v>
      </c>
      <c r="C16" s="4" t="s">
        <v>842</v>
      </c>
    </row>
    <row r="17" spans="2:3">
      <c r="B17" s="4" t="s">
        <v>546</v>
      </c>
      <c r="C17" s="4" t="s">
        <v>843</v>
      </c>
    </row>
    <row r="18" spans="2:3">
      <c r="B18" s="4" t="s">
        <v>844</v>
      </c>
      <c r="C18" s="4" t="s">
        <v>1371</v>
      </c>
    </row>
    <row r="19" spans="2:3">
      <c r="B19" s="4" t="s">
        <v>845</v>
      </c>
      <c r="C19" s="4" t="s">
        <v>1372</v>
      </c>
    </row>
    <row r="20" spans="2:3">
      <c r="B20" s="4" t="s">
        <v>846</v>
      </c>
      <c r="C20" s="4" t="s">
        <v>1373</v>
      </c>
    </row>
    <row r="21" spans="2:3">
      <c r="B21" s="4" t="s">
        <v>552</v>
      </c>
      <c r="C21" s="4" t="s">
        <v>1374</v>
      </c>
    </row>
    <row r="22" spans="2:3">
      <c r="B22" s="4" t="s">
        <v>553</v>
      </c>
      <c r="C22" s="4" t="s">
        <v>1375</v>
      </c>
    </row>
    <row r="23" spans="2:3">
      <c r="B23" s="4" t="s">
        <v>848</v>
      </c>
      <c r="C23" s="4" t="s">
        <v>1376</v>
      </c>
    </row>
    <row r="24" spans="2:3">
      <c r="B24" s="4" t="s">
        <v>849</v>
      </c>
      <c r="C24" s="4" t="s">
        <v>1377</v>
      </c>
    </row>
    <row r="25" spans="2:3">
      <c r="B25" s="4" t="s">
        <v>850</v>
      </c>
      <c r="C25" s="4" t="s">
        <v>1378</v>
      </c>
    </row>
    <row r="26" spans="2:3">
      <c r="B26" s="4" t="s">
        <v>851</v>
      </c>
      <c r="C26" s="4" t="s">
        <v>1379</v>
      </c>
    </row>
    <row r="27" spans="2:3">
      <c r="B27" s="4" t="s">
        <v>852</v>
      </c>
      <c r="C27" s="4" t="s">
        <v>1380</v>
      </c>
    </row>
    <row r="28" spans="2:3">
      <c r="B28" s="4" t="s">
        <v>853</v>
      </c>
      <c r="C28" s="4" t="s">
        <v>1381</v>
      </c>
    </row>
    <row r="29" spans="2:3">
      <c r="B29" s="4" t="s">
        <v>854</v>
      </c>
      <c r="C29" s="4" t="s">
        <v>1382</v>
      </c>
    </row>
    <row r="30" spans="2:3">
      <c r="B30" s="4" t="s">
        <v>855</v>
      </c>
      <c r="C30" s="4" t="s">
        <v>1383</v>
      </c>
    </row>
    <row r="31" spans="2:3">
      <c r="B31" s="4" t="s">
        <v>856</v>
      </c>
      <c r="C31" s="4" t="s">
        <v>1384</v>
      </c>
    </row>
    <row r="32" spans="2:3">
      <c r="B32" s="4" t="s">
        <v>857</v>
      </c>
      <c r="C32" s="4" t="s">
        <v>1385</v>
      </c>
    </row>
    <row r="33" spans="2:3">
      <c r="B33" s="4" t="s">
        <v>858</v>
      </c>
      <c r="C33" s="4" t="s">
        <v>1386</v>
      </c>
    </row>
    <row r="34" spans="2:3">
      <c r="B34" s="4" t="s">
        <v>859</v>
      </c>
      <c r="C34" s="4" t="s">
        <v>1387</v>
      </c>
    </row>
    <row r="35" spans="2:3">
      <c r="B35" s="4" t="s">
        <v>860</v>
      </c>
      <c r="C35" s="4" t="s">
        <v>1388</v>
      </c>
    </row>
    <row r="36" spans="2:3">
      <c r="B36" s="4" t="s">
        <v>861</v>
      </c>
      <c r="C36" s="4" t="s">
        <v>1389</v>
      </c>
    </row>
    <row r="37" spans="2:3">
      <c r="B37" s="4" t="s">
        <v>862</v>
      </c>
      <c r="C37" s="4" t="s">
        <v>1390</v>
      </c>
    </row>
    <row r="38" spans="2:3">
      <c r="B38" s="4" t="s">
        <v>863</v>
      </c>
      <c r="C38" s="4" t="s">
        <v>1391</v>
      </c>
    </row>
    <row r="39" spans="2:3">
      <c r="B39" s="4" t="s">
        <v>864</v>
      </c>
      <c r="C39" s="4" t="s">
        <v>1392</v>
      </c>
    </row>
    <row r="40" spans="2:3">
      <c r="B40" s="4" t="s">
        <v>865</v>
      </c>
      <c r="C40" s="4" t="s">
        <v>1393</v>
      </c>
    </row>
    <row r="41" spans="2:3">
      <c r="B41" s="4" t="s">
        <v>1394</v>
      </c>
      <c r="C41" s="4" t="s">
        <v>1395</v>
      </c>
    </row>
    <row r="42" spans="2:3">
      <c r="B42" s="4" t="s">
        <v>1396</v>
      </c>
      <c r="C42" s="4" t="s">
        <v>1397</v>
      </c>
    </row>
    <row r="43" spans="2:3">
      <c r="B43" s="4" t="s">
        <v>1398</v>
      </c>
      <c r="C43" s="4" t="s">
        <v>1399</v>
      </c>
    </row>
    <row r="44" spans="2:3">
      <c r="B44" s="4" t="s">
        <v>1400</v>
      </c>
      <c r="C44" s="4" t="s">
        <v>1401</v>
      </c>
    </row>
    <row r="45" spans="2:3">
      <c r="B45" s="4" t="s">
        <v>547</v>
      </c>
      <c r="C45" s="4" t="s">
        <v>1402</v>
      </c>
    </row>
    <row r="46" spans="2:3">
      <c r="B46" s="4" t="s">
        <v>1403</v>
      </c>
      <c r="C46" s="4" t="s">
        <v>1404</v>
      </c>
    </row>
    <row r="47" spans="2:3">
      <c r="B47" s="4" t="s">
        <v>548</v>
      </c>
      <c r="C47" s="4" t="s">
        <v>1405</v>
      </c>
    </row>
    <row r="48" spans="2:3">
      <c r="B48" s="4" t="s">
        <v>549</v>
      </c>
      <c r="C48" s="4" t="s">
        <v>1406</v>
      </c>
    </row>
    <row r="49" spans="2:3">
      <c r="B49" s="4" t="s">
        <v>550</v>
      </c>
      <c r="C49" s="4" t="s">
        <v>1407</v>
      </c>
    </row>
    <row r="50" spans="2:3">
      <c r="B50" s="4" t="s">
        <v>1408</v>
      </c>
      <c r="C50" s="4" t="s">
        <v>1409</v>
      </c>
    </row>
    <row r="51" spans="2:3">
      <c r="B51" s="4" t="s">
        <v>1410</v>
      </c>
      <c r="C51" s="4" t="s">
        <v>1411</v>
      </c>
    </row>
    <row r="52" spans="2:3">
      <c r="B52" s="4" t="s">
        <v>551</v>
      </c>
      <c r="C52" s="4" t="s">
        <v>1412</v>
      </c>
    </row>
    <row r="53" spans="2:3">
      <c r="B53" s="4" t="s">
        <v>1413</v>
      </c>
      <c r="C53" s="4" t="s">
        <v>1414</v>
      </c>
    </row>
    <row r="54" spans="2:3">
      <c r="B54" s="4" t="s">
        <v>1415</v>
      </c>
      <c r="C54" s="4" t="s">
        <v>1416</v>
      </c>
    </row>
    <row r="55" spans="2:3">
      <c r="B55" s="4" t="s">
        <v>758</v>
      </c>
      <c r="C55" s="4" t="s">
        <v>1417</v>
      </c>
    </row>
    <row r="56" spans="2:3">
      <c r="B56" s="4" t="s">
        <v>759</v>
      </c>
      <c r="C56" s="4" t="s">
        <v>1418</v>
      </c>
    </row>
    <row r="57" spans="2:3">
      <c r="B57" s="4" t="s">
        <v>1419</v>
      </c>
      <c r="C57" s="4" t="s">
        <v>1420</v>
      </c>
    </row>
    <row r="58" spans="2:3">
      <c r="B58" s="4" t="s">
        <v>760</v>
      </c>
      <c r="C58" s="4" t="s">
        <v>1421</v>
      </c>
    </row>
    <row r="59" spans="2:3">
      <c r="B59" s="4" t="s">
        <v>761</v>
      </c>
      <c r="C59" s="4" t="s">
        <v>1422</v>
      </c>
    </row>
    <row r="60" spans="2:3">
      <c r="B60" s="4" t="s">
        <v>593</v>
      </c>
      <c r="C60" s="4" t="s">
        <v>1423</v>
      </c>
    </row>
    <row r="61" spans="2:3">
      <c r="B61" s="4" t="s">
        <v>594</v>
      </c>
      <c r="C61" s="4" t="s">
        <v>1424</v>
      </c>
    </row>
    <row r="62" spans="2:3">
      <c r="B62" s="4" t="s">
        <v>1425</v>
      </c>
      <c r="C62" s="4" t="s">
        <v>709</v>
      </c>
    </row>
    <row r="63" spans="2:3">
      <c r="B63" s="4" t="s">
        <v>1426</v>
      </c>
      <c r="C63" s="4" t="s">
        <v>1427</v>
      </c>
    </row>
    <row r="64" spans="2:3">
      <c r="B64" s="4" t="s">
        <v>1428</v>
      </c>
      <c r="C64" s="4" t="s">
        <v>1429</v>
      </c>
    </row>
    <row r="65" spans="2:3">
      <c r="B65" s="4" t="s">
        <v>774</v>
      </c>
      <c r="C65" s="4" t="s">
        <v>1430</v>
      </c>
    </row>
    <row r="66" spans="2:3">
      <c r="B66" s="4" t="s">
        <v>1431</v>
      </c>
      <c r="C66" s="4" t="s">
        <v>1432</v>
      </c>
    </row>
    <row r="67" spans="2:3">
      <c r="B67" s="4" t="s">
        <v>1433</v>
      </c>
      <c r="C67" s="4" t="s">
        <v>710</v>
      </c>
    </row>
    <row r="68" spans="2:3">
      <c r="B68" s="4" t="s">
        <v>595</v>
      </c>
      <c r="C68" s="4" t="s">
        <v>1434</v>
      </c>
    </row>
    <row r="69" spans="2:3">
      <c r="B69" s="4" t="s">
        <v>1435</v>
      </c>
      <c r="C69" s="4" t="s">
        <v>911</v>
      </c>
    </row>
    <row r="70" spans="2:3">
      <c r="B70" s="4" t="s">
        <v>1436</v>
      </c>
      <c r="C70" s="4" t="s">
        <v>1437</v>
      </c>
    </row>
    <row r="71" spans="2:3">
      <c r="B71" s="4" t="s">
        <v>912</v>
      </c>
      <c r="C71" s="4" t="s">
        <v>913</v>
      </c>
    </row>
    <row r="72" spans="2:3">
      <c r="B72" s="4" t="s">
        <v>1438</v>
      </c>
      <c r="C72" s="4" t="s">
        <v>1439</v>
      </c>
    </row>
    <row r="73" spans="2:3">
      <c r="B73" s="4" t="s">
        <v>914</v>
      </c>
      <c r="C73" s="4" t="s">
        <v>915</v>
      </c>
    </row>
    <row r="74" spans="2:3">
      <c r="B74" s="4" t="s">
        <v>1440</v>
      </c>
      <c r="C74" s="4" t="s">
        <v>711</v>
      </c>
    </row>
    <row r="75" spans="2:3">
      <c r="B75" s="4" t="s">
        <v>1441</v>
      </c>
      <c r="C75" s="4" t="s">
        <v>1442</v>
      </c>
    </row>
    <row r="76" spans="2:3">
      <c r="B76" s="4" t="s">
        <v>1443</v>
      </c>
      <c r="C76" s="4" t="s">
        <v>712</v>
      </c>
    </row>
    <row r="77" spans="2:3">
      <c r="B77" s="4" t="s">
        <v>1444</v>
      </c>
      <c r="C77" s="4" t="s">
        <v>1445</v>
      </c>
    </row>
    <row r="78" spans="2:3">
      <c r="B78" s="4" t="s">
        <v>1446</v>
      </c>
      <c r="C78" s="4" t="s">
        <v>713</v>
      </c>
    </row>
    <row r="79" spans="2:3">
      <c r="B79" s="4" t="s">
        <v>1447</v>
      </c>
      <c r="C79" s="4" t="s">
        <v>1448</v>
      </c>
    </row>
    <row r="80" spans="2:3">
      <c r="B80" s="4" t="s">
        <v>1449</v>
      </c>
      <c r="C80" s="4" t="s">
        <v>1450</v>
      </c>
    </row>
    <row r="81" spans="2:3">
      <c r="B81" s="4" t="s">
        <v>1451</v>
      </c>
      <c r="C81" s="4" t="s">
        <v>1452</v>
      </c>
    </row>
    <row r="82" spans="2:3">
      <c r="B82" s="4" t="s">
        <v>1453</v>
      </c>
      <c r="C82" s="4" t="s">
        <v>1454</v>
      </c>
    </row>
    <row r="83" spans="2:3">
      <c r="B83" s="4" t="s">
        <v>1455</v>
      </c>
      <c r="C83" s="4" t="s">
        <v>1456</v>
      </c>
    </row>
    <row r="84" spans="2:3">
      <c r="B84" s="4" t="s">
        <v>1457</v>
      </c>
      <c r="C84" s="4" t="s">
        <v>1458</v>
      </c>
    </row>
    <row r="85" spans="2:3">
      <c r="B85" s="4" t="s">
        <v>1459</v>
      </c>
      <c r="C85" s="4" t="s">
        <v>1460</v>
      </c>
    </row>
    <row r="86" spans="2:3">
      <c r="B86" s="4" t="s">
        <v>1461</v>
      </c>
      <c r="C86" s="4" t="s">
        <v>1462</v>
      </c>
    </row>
    <row r="87" spans="2:3">
      <c r="B87" s="4" t="s">
        <v>1463</v>
      </c>
      <c r="C87" s="4" t="s">
        <v>1464</v>
      </c>
    </row>
    <row r="88" spans="2:3">
      <c r="B88" s="4" t="s">
        <v>1465</v>
      </c>
      <c r="C88" s="4" t="s">
        <v>1466</v>
      </c>
    </row>
    <row r="89" spans="2:3">
      <c r="B89" s="4" t="s">
        <v>1467</v>
      </c>
      <c r="C89" s="4" t="s">
        <v>1468</v>
      </c>
    </row>
    <row r="90" spans="2:3">
      <c r="B90" s="4" t="s">
        <v>664</v>
      </c>
      <c r="C90" s="4" t="s">
        <v>1469</v>
      </c>
    </row>
    <row r="91" spans="2:3">
      <c r="B91" s="4" t="s">
        <v>1470</v>
      </c>
      <c r="C91" s="4" t="s">
        <v>1471</v>
      </c>
    </row>
    <row r="92" spans="2:3">
      <c r="B92" s="4" t="s">
        <v>1472</v>
      </c>
      <c r="C92" s="4" t="s">
        <v>1473</v>
      </c>
    </row>
    <row r="93" spans="2:3">
      <c r="B93" s="4" t="s">
        <v>1474</v>
      </c>
      <c r="C93" s="4" t="s">
        <v>1475</v>
      </c>
    </row>
    <row r="94" spans="2:3">
      <c r="B94" s="4" t="s">
        <v>1476</v>
      </c>
      <c r="C94" s="4" t="s">
        <v>1477</v>
      </c>
    </row>
    <row r="95" spans="2:3">
      <c r="B95" s="4" t="s">
        <v>1478</v>
      </c>
      <c r="C95" s="4" t="s">
        <v>1479</v>
      </c>
    </row>
    <row r="96" spans="2:3">
      <c r="B96" s="4" t="s">
        <v>1480</v>
      </c>
      <c r="C96" s="4" t="s">
        <v>1481</v>
      </c>
    </row>
    <row r="97" spans="2:3">
      <c r="B97" s="4" t="s">
        <v>1482</v>
      </c>
      <c r="C97" s="4" t="s">
        <v>1483</v>
      </c>
    </row>
    <row r="98" spans="2:3">
      <c r="B98" s="4" t="s">
        <v>1484</v>
      </c>
      <c r="C98" s="4" t="s">
        <v>1485</v>
      </c>
    </row>
    <row r="99" spans="2:3">
      <c r="B99" s="4" t="s">
        <v>1486</v>
      </c>
      <c r="C99" s="4" t="s">
        <v>1487</v>
      </c>
    </row>
    <row r="100" spans="2:3">
      <c r="B100" s="4" t="s">
        <v>1488</v>
      </c>
      <c r="C100" s="4" t="s">
        <v>1489</v>
      </c>
    </row>
    <row r="101" spans="2:3">
      <c r="B101" s="4" t="s">
        <v>1490</v>
      </c>
      <c r="C101" s="4" t="s">
        <v>1491</v>
      </c>
    </row>
    <row r="102" spans="2:3">
      <c r="B102" s="4" t="s">
        <v>1492</v>
      </c>
      <c r="C102" s="4" t="s">
        <v>1493</v>
      </c>
    </row>
    <row r="103" spans="2:3">
      <c r="B103" s="4" t="s">
        <v>1494</v>
      </c>
      <c r="C103" s="4" t="s">
        <v>1495</v>
      </c>
    </row>
    <row r="104" spans="2:3">
      <c r="B104" s="4" t="s">
        <v>1496</v>
      </c>
      <c r="C104" s="4" t="s">
        <v>1497</v>
      </c>
    </row>
    <row r="105" spans="2:3">
      <c r="B105" s="4" t="s">
        <v>1498</v>
      </c>
      <c r="C105" s="4" t="s">
        <v>1499</v>
      </c>
    </row>
    <row r="106" spans="2:3">
      <c r="B106" s="4" t="s">
        <v>1500</v>
      </c>
      <c r="C106" s="4" t="s">
        <v>1501</v>
      </c>
    </row>
    <row r="107" spans="2:3">
      <c r="B107" s="4" t="s">
        <v>1502</v>
      </c>
      <c r="C107" s="4" t="s">
        <v>1503</v>
      </c>
    </row>
    <row r="108" spans="2:3">
      <c r="B108" s="4" t="s">
        <v>1504</v>
      </c>
      <c r="C108" s="4" t="s">
        <v>1505</v>
      </c>
    </row>
    <row r="109" spans="2:3">
      <c r="B109" s="4" t="s">
        <v>1506</v>
      </c>
      <c r="C109" s="4" t="s">
        <v>1507</v>
      </c>
    </row>
    <row r="110" spans="2:3">
      <c r="B110" s="4" t="s">
        <v>1508</v>
      </c>
      <c r="C110" s="4" t="s">
        <v>1509</v>
      </c>
    </row>
    <row r="111" spans="2:3">
      <c r="B111" s="4" t="s">
        <v>1510</v>
      </c>
      <c r="C111" s="4" t="s">
        <v>1511</v>
      </c>
    </row>
    <row r="112" spans="2:3">
      <c r="B112" s="4" t="s">
        <v>1512</v>
      </c>
      <c r="C112" s="4" t="s">
        <v>1513</v>
      </c>
    </row>
    <row r="113" spans="2:3">
      <c r="B113" s="4" t="s">
        <v>1514</v>
      </c>
      <c r="C113" s="4" t="s">
        <v>1515</v>
      </c>
    </row>
    <row r="114" spans="2:3">
      <c r="B114" s="4" t="s">
        <v>1516</v>
      </c>
      <c r="C114" s="4" t="s">
        <v>1517</v>
      </c>
    </row>
    <row r="115" spans="2:3">
      <c r="B115" s="4" t="s">
        <v>1518</v>
      </c>
      <c r="C115" s="4" t="s">
        <v>1519</v>
      </c>
    </row>
    <row r="116" spans="2:3">
      <c r="B116" s="4" t="s">
        <v>1520</v>
      </c>
      <c r="C116" s="4" t="s">
        <v>1521</v>
      </c>
    </row>
    <row r="117" spans="2:3">
      <c r="B117" s="4" t="s">
        <v>1522</v>
      </c>
      <c r="C117" s="4" t="s">
        <v>1523</v>
      </c>
    </row>
    <row r="118" spans="2:3">
      <c r="B118" s="4" t="s">
        <v>1524</v>
      </c>
      <c r="C118" s="4" t="s">
        <v>1525</v>
      </c>
    </row>
    <row r="119" spans="2:3">
      <c r="B119" s="4" t="s">
        <v>596</v>
      </c>
      <c r="C119" s="4" t="s">
        <v>1526</v>
      </c>
    </row>
    <row r="120" spans="2:3">
      <c r="B120" s="4" t="s">
        <v>597</v>
      </c>
      <c r="C120" s="4" t="s">
        <v>1527</v>
      </c>
    </row>
    <row r="121" spans="2:3">
      <c r="B121" s="4" t="s">
        <v>1528</v>
      </c>
      <c r="C121" s="4" t="s">
        <v>1529</v>
      </c>
    </row>
    <row r="122" spans="2:3">
      <c r="B122" s="4" t="s">
        <v>598</v>
      </c>
      <c r="C122" s="4" t="s">
        <v>1530</v>
      </c>
    </row>
    <row r="123" spans="2:3">
      <c r="B123" s="4" t="s">
        <v>599</v>
      </c>
      <c r="C123" s="4" t="s">
        <v>1531</v>
      </c>
    </row>
    <row r="124" spans="2:3">
      <c r="B124" s="4" t="s">
        <v>600</v>
      </c>
      <c r="C124" s="4" t="s">
        <v>1532</v>
      </c>
    </row>
    <row r="125" spans="2:3">
      <c r="B125" s="4" t="s">
        <v>665</v>
      </c>
      <c r="C125" s="4" t="s">
        <v>1533</v>
      </c>
    </row>
    <row r="126" spans="2:3">
      <c r="B126" s="4" t="s">
        <v>653</v>
      </c>
      <c r="C126" s="4" t="s">
        <v>1534</v>
      </c>
    </row>
    <row r="127" spans="2:3">
      <c r="B127" s="4" t="s">
        <v>1535</v>
      </c>
      <c r="C127" s="4" t="s">
        <v>714</v>
      </c>
    </row>
    <row r="128" spans="2:3">
      <c r="B128" s="4" t="s">
        <v>654</v>
      </c>
      <c r="C128" s="4" t="s">
        <v>916</v>
      </c>
    </row>
    <row r="129" spans="2:3">
      <c r="B129" s="4" t="s">
        <v>917</v>
      </c>
      <c r="C129" s="4" t="s">
        <v>918</v>
      </c>
    </row>
    <row r="130" spans="2:3">
      <c r="B130" s="4" t="s">
        <v>919</v>
      </c>
      <c r="C130" s="4" t="s">
        <v>715</v>
      </c>
    </row>
    <row r="131" spans="2:3">
      <c r="B131" s="4" t="s">
        <v>1536</v>
      </c>
      <c r="C131" s="4" t="s">
        <v>1537</v>
      </c>
    </row>
    <row r="132" spans="2:3">
      <c r="B132" s="4" t="s">
        <v>1538</v>
      </c>
      <c r="C132" s="4" t="s">
        <v>1539</v>
      </c>
    </row>
    <row r="133" spans="2:3">
      <c r="B133" s="4" t="s">
        <v>1540</v>
      </c>
      <c r="C133" s="4" t="s">
        <v>1541</v>
      </c>
    </row>
    <row r="134" spans="2:3">
      <c r="B134" s="4" t="s">
        <v>655</v>
      </c>
      <c r="C134" s="4" t="s">
        <v>1542</v>
      </c>
    </row>
    <row r="135" spans="2:3">
      <c r="B135" s="4" t="s">
        <v>656</v>
      </c>
      <c r="C135" s="4" t="s">
        <v>1543</v>
      </c>
    </row>
    <row r="136" spans="2:3">
      <c r="B136" s="4" t="s">
        <v>920</v>
      </c>
      <c r="C136" s="4" t="s">
        <v>716</v>
      </c>
    </row>
    <row r="137" spans="2:3">
      <c r="B137" s="4" t="s">
        <v>921</v>
      </c>
      <c r="C137" s="4" t="s">
        <v>922</v>
      </c>
    </row>
    <row r="138" spans="2:3">
      <c r="B138" s="4" t="s">
        <v>1544</v>
      </c>
      <c r="C138" s="4" t="s">
        <v>1545</v>
      </c>
    </row>
    <row r="139" spans="2:3">
      <c r="B139" s="4" t="s">
        <v>1546</v>
      </c>
      <c r="C139" s="4" t="s">
        <v>1547</v>
      </c>
    </row>
    <row r="140" spans="2:3">
      <c r="B140" s="4" t="s">
        <v>1548</v>
      </c>
      <c r="C140" s="4" t="s">
        <v>1549</v>
      </c>
    </row>
    <row r="141" spans="2:3">
      <c r="B141" s="4" t="s">
        <v>1550</v>
      </c>
      <c r="C141" s="4" t="s">
        <v>717</v>
      </c>
    </row>
    <row r="142" spans="2:3">
      <c r="B142" s="4" t="s">
        <v>1551</v>
      </c>
      <c r="C142" s="4" t="s">
        <v>718</v>
      </c>
    </row>
    <row r="143" spans="2:3">
      <c r="B143" s="4" t="s">
        <v>1552</v>
      </c>
      <c r="C143" s="4" t="s">
        <v>719</v>
      </c>
    </row>
    <row r="144" spans="2:3">
      <c r="B144" s="4" t="s">
        <v>1553</v>
      </c>
      <c r="C144" s="4" t="s">
        <v>720</v>
      </c>
    </row>
    <row r="145" spans="2:3">
      <c r="B145" s="4" t="s">
        <v>1554</v>
      </c>
      <c r="C145" s="4" t="s">
        <v>721</v>
      </c>
    </row>
    <row r="146" spans="2:3">
      <c r="B146" s="4" t="s">
        <v>1555</v>
      </c>
      <c r="C146" s="4" t="s">
        <v>722</v>
      </c>
    </row>
    <row r="147" spans="2:3">
      <c r="B147" s="4" t="s">
        <v>1556</v>
      </c>
      <c r="C147" s="4" t="s">
        <v>723</v>
      </c>
    </row>
    <row r="148" spans="2:3">
      <c r="B148" s="4" t="s">
        <v>923</v>
      </c>
      <c r="C148" s="4" t="s">
        <v>724</v>
      </c>
    </row>
    <row r="149" spans="2:3">
      <c r="B149" s="4" t="s">
        <v>1557</v>
      </c>
      <c r="C149" s="4" t="s">
        <v>725</v>
      </c>
    </row>
    <row r="150" spans="2:3">
      <c r="B150" s="4" t="s">
        <v>355</v>
      </c>
      <c r="C150" s="4" t="s">
        <v>1558</v>
      </c>
    </row>
    <row r="151" spans="2:3">
      <c r="B151" s="4" t="s">
        <v>924</v>
      </c>
      <c r="C151" s="4" t="s">
        <v>726</v>
      </c>
    </row>
    <row r="152" spans="2:3">
      <c r="B152" s="4" t="s">
        <v>925</v>
      </c>
      <c r="C152" s="4" t="s">
        <v>727</v>
      </c>
    </row>
    <row r="153" spans="2:3">
      <c r="B153" s="4" t="s">
        <v>926</v>
      </c>
      <c r="C153" s="4" t="s">
        <v>1559</v>
      </c>
    </row>
    <row r="154" spans="2:3">
      <c r="B154" s="4" t="s">
        <v>927</v>
      </c>
      <c r="C154" s="4" t="s">
        <v>928</v>
      </c>
    </row>
    <row r="155" spans="2:3">
      <c r="B155" s="4" t="s">
        <v>929</v>
      </c>
      <c r="C155" s="4" t="s">
        <v>1560</v>
      </c>
    </row>
    <row r="156" spans="2:3">
      <c r="B156" s="4" t="s">
        <v>1561</v>
      </c>
      <c r="C156" s="4" t="s">
        <v>728</v>
      </c>
    </row>
    <row r="157" spans="2:3">
      <c r="B157" s="4" t="s">
        <v>1562</v>
      </c>
      <c r="C157" s="4" t="s">
        <v>729</v>
      </c>
    </row>
    <row r="158" spans="2:3">
      <c r="B158" s="4" t="s">
        <v>1563</v>
      </c>
      <c r="C158" s="4" t="s">
        <v>730</v>
      </c>
    </row>
    <row r="159" spans="2:3">
      <c r="B159" s="4" t="s">
        <v>1564</v>
      </c>
      <c r="C159" s="4" t="s">
        <v>731</v>
      </c>
    </row>
    <row r="160" spans="2:3">
      <c r="B160" s="4" t="s">
        <v>197</v>
      </c>
      <c r="C160" s="4" t="s">
        <v>732</v>
      </c>
    </row>
    <row r="161" spans="2:3">
      <c r="B161" s="4" t="s">
        <v>1565</v>
      </c>
      <c r="C161" s="4" t="s">
        <v>733</v>
      </c>
    </row>
    <row r="162" spans="2:3">
      <c r="B162" s="4" t="s">
        <v>1566</v>
      </c>
      <c r="C162" s="4" t="s">
        <v>734</v>
      </c>
    </row>
    <row r="163" spans="2:3">
      <c r="B163" s="4" t="s">
        <v>1567</v>
      </c>
      <c r="C163" s="4" t="s">
        <v>735</v>
      </c>
    </row>
    <row r="164" spans="2:3">
      <c r="B164" s="4" t="s">
        <v>1568</v>
      </c>
      <c r="C164" s="4" t="s">
        <v>736</v>
      </c>
    </row>
    <row r="165" spans="2:3">
      <c r="B165" s="4" t="s">
        <v>1569</v>
      </c>
      <c r="C165" s="4" t="s">
        <v>737</v>
      </c>
    </row>
    <row r="166" spans="2:3">
      <c r="B166" s="4" t="s">
        <v>1570</v>
      </c>
      <c r="C166" s="4" t="s">
        <v>738</v>
      </c>
    </row>
    <row r="167" spans="2:3">
      <c r="B167" s="4" t="s">
        <v>1571</v>
      </c>
      <c r="C167" s="4" t="s">
        <v>1572</v>
      </c>
    </row>
    <row r="168" spans="2:3">
      <c r="B168" s="4" t="s">
        <v>3</v>
      </c>
      <c r="C168" s="4" t="s">
        <v>1573</v>
      </c>
    </row>
    <row r="169" spans="2:3">
      <c r="B169" s="4" t="s">
        <v>4</v>
      </c>
      <c r="C169" s="4" t="s">
        <v>1574</v>
      </c>
    </row>
    <row r="170" spans="2:3">
      <c r="B170" s="4" t="s">
        <v>5</v>
      </c>
      <c r="C170" s="4" t="s">
        <v>1575</v>
      </c>
    </row>
    <row r="171" spans="2:3">
      <c r="B171" s="4" t="s">
        <v>6</v>
      </c>
      <c r="C171" s="4" t="s">
        <v>1576</v>
      </c>
    </row>
    <row r="172" spans="2:3">
      <c r="B172" s="4" t="s">
        <v>1577</v>
      </c>
      <c r="C172" s="4" t="s">
        <v>1578</v>
      </c>
    </row>
    <row r="173" spans="2:3">
      <c r="B173" s="4" t="s">
        <v>7</v>
      </c>
      <c r="C173" s="4" t="s">
        <v>1579</v>
      </c>
    </row>
    <row r="174" spans="2:3">
      <c r="B174" s="4" t="s">
        <v>8</v>
      </c>
      <c r="C174" s="4" t="s">
        <v>1580</v>
      </c>
    </row>
    <row r="175" spans="2:3">
      <c r="B175" s="4" t="s">
        <v>9</v>
      </c>
      <c r="C175" s="4" t="s">
        <v>1581</v>
      </c>
    </row>
    <row r="176" spans="2:3">
      <c r="B176" s="4" t="s">
        <v>1582</v>
      </c>
      <c r="C176" s="4" t="s">
        <v>1583</v>
      </c>
    </row>
    <row r="177" spans="2:3">
      <c r="B177" s="4" t="s">
        <v>10</v>
      </c>
      <c r="C177" s="4" t="s">
        <v>1584</v>
      </c>
    </row>
    <row r="178" spans="2:3">
      <c r="B178" s="4" t="s">
        <v>11</v>
      </c>
      <c r="C178" s="4" t="s">
        <v>1585</v>
      </c>
    </row>
    <row r="179" spans="2:3">
      <c r="B179" s="4" t="s">
        <v>12</v>
      </c>
      <c r="C179" s="4" t="s">
        <v>1586</v>
      </c>
    </row>
    <row r="180" spans="2:3">
      <c r="B180" s="4" t="s">
        <v>1587</v>
      </c>
      <c r="C180" s="4" t="s">
        <v>1588</v>
      </c>
    </row>
    <row r="181" spans="2:3">
      <c r="B181" s="4" t="s">
        <v>1589</v>
      </c>
      <c r="C181" s="4" t="s">
        <v>1590</v>
      </c>
    </row>
    <row r="182" spans="2:3">
      <c r="B182" s="4" t="s">
        <v>1591</v>
      </c>
      <c r="C182" s="4" t="s">
        <v>1592</v>
      </c>
    </row>
    <row r="183" spans="2:3">
      <c r="B183" s="4" t="s">
        <v>1593</v>
      </c>
      <c r="C183" s="4" t="s">
        <v>1594</v>
      </c>
    </row>
    <row r="184" spans="2:3">
      <c r="B184" s="4" t="s">
        <v>1595</v>
      </c>
      <c r="C184" s="4" t="s">
        <v>1596</v>
      </c>
    </row>
    <row r="185" spans="2:3">
      <c r="B185" s="4" t="s">
        <v>1597</v>
      </c>
      <c r="C185" s="4" t="s">
        <v>1598</v>
      </c>
    </row>
    <row r="186" spans="2:3">
      <c r="B186" s="4" t="s">
        <v>1599</v>
      </c>
      <c r="C186" s="4" t="s">
        <v>1600</v>
      </c>
    </row>
    <row r="187" spans="2:3">
      <c r="B187" s="4" t="s">
        <v>1601</v>
      </c>
      <c r="C187" s="4" t="s">
        <v>1602</v>
      </c>
    </row>
    <row r="188" spans="2:3">
      <c r="B188" s="4" t="s">
        <v>1603</v>
      </c>
      <c r="C188" s="4" t="s">
        <v>1604</v>
      </c>
    </row>
    <row r="189" spans="2:3">
      <c r="B189" s="4" t="s">
        <v>1605</v>
      </c>
      <c r="C189" s="4" t="s">
        <v>1606</v>
      </c>
    </row>
    <row r="190" spans="2:3">
      <c r="B190" s="4" t="s">
        <v>1607</v>
      </c>
      <c r="C190" s="4" t="s">
        <v>1608</v>
      </c>
    </row>
    <row r="191" spans="2:3">
      <c r="B191" s="4" t="s">
        <v>1609</v>
      </c>
      <c r="C191" s="4" t="s">
        <v>1610</v>
      </c>
    </row>
    <row r="192" spans="2:3">
      <c r="B192" s="4" t="s">
        <v>1611</v>
      </c>
      <c r="C192" s="4" t="s">
        <v>1612</v>
      </c>
    </row>
    <row r="193" spans="2:3">
      <c r="B193" s="4" t="s">
        <v>1613</v>
      </c>
      <c r="C193" s="4" t="s">
        <v>1614</v>
      </c>
    </row>
    <row r="194" spans="2:3">
      <c r="B194" s="4" t="s">
        <v>1615</v>
      </c>
      <c r="C194" s="4" t="s">
        <v>1616</v>
      </c>
    </row>
    <row r="195" spans="2:3">
      <c r="B195" s="4" t="s">
        <v>1617</v>
      </c>
      <c r="C195" s="4" t="s">
        <v>1618</v>
      </c>
    </row>
    <row r="196" spans="2:3">
      <c r="B196" s="4" t="s">
        <v>1619</v>
      </c>
      <c r="C196" s="4" t="s">
        <v>1620</v>
      </c>
    </row>
    <row r="197" spans="2:3">
      <c r="B197" s="4" t="s">
        <v>1621</v>
      </c>
      <c r="C197" s="4" t="s">
        <v>1622</v>
      </c>
    </row>
    <row r="198" spans="2:3">
      <c r="B198" s="4" t="s">
        <v>1623</v>
      </c>
      <c r="C198" s="4" t="s">
        <v>1624</v>
      </c>
    </row>
    <row r="199" spans="2:3">
      <c r="B199" s="4" t="s">
        <v>1625</v>
      </c>
      <c r="C199" s="4" t="s">
        <v>1626</v>
      </c>
    </row>
    <row r="200" spans="2:3">
      <c r="B200" s="4" t="s">
        <v>1627</v>
      </c>
      <c r="C200" s="4" t="s">
        <v>1628</v>
      </c>
    </row>
    <row r="201" spans="2:3">
      <c r="B201" s="4" t="s">
        <v>1629</v>
      </c>
      <c r="C201" s="4" t="s">
        <v>1630</v>
      </c>
    </row>
    <row r="202" spans="2:3">
      <c r="B202" s="4" t="s">
        <v>1631</v>
      </c>
      <c r="C202" s="4" t="s">
        <v>1632</v>
      </c>
    </row>
    <row r="203" spans="2:3">
      <c r="B203" s="4" t="s">
        <v>1633</v>
      </c>
      <c r="C203" s="4" t="s">
        <v>1634</v>
      </c>
    </row>
    <row r="204" spans="2:3">
      <c r="B204" s="4" t="s">
        <v>1635</v>
      </c>
      <c r="C204" s="4" t="s">
        <v>1636</v>
      </c>
    </row>
    <row r="205" spans="2:3">
      <c r="B205" s="4" t="s">
        <v>1637</v>
      </c>
      <c r="C205" s="4" t="s">
        <v>1638</v>
      </c>
    </row>
    <row r="206" spans="2:3">
      <c r="B206" s="4" t="s">
        <v>1639</v>
      </c>
      <c r="C206" s="4" t="s">
        <v>1640</v>
      </c>
    </row>
    <row r="207" spans="2:3">
      <c r="B207" s="4" t="s">
        <v>1641</v>
      </c>
      <c r="C207" s="4" t="s">
        <v>1642</v>
      </c>
    </row>
    <row r="208" spans="2:3">
      <c r="B208" s="4" t="s">
        <v>1643</v>
      </c>
      <c r="C208" s="4" t="s">
        <v>1644</v>
      </c>
    </row>
    <row r="209" spans="2:3">
      <c r="B209" s="4" t="s">
        <v>1645</v>
      </c>
      <c r="C209" s="4" t="s">
        <v>1646</v>
      </c>
    </row>
    <row r="210" spans="2:3">
      <c r="B210" s="4" t="s">
        <v>1647</v>
      </c>
      <c r="C210" s="4" t="s">
        <v>1648</v>
      </c>
    </row>
    <row r="211" spans="2:3">
      <c r="B211" s="4" t="s">
        <v>1649</v>
      </c>
      <c r="C211" s="4" t="s">
        <v>1650</v>
      </c>
    </row>
    <row r="212" spans="2:3">
      <c r="B212" s="4" t="s">
        <v>1651</v>
      </c>
      <c r="C212" s="4" t="s">
        <v>1652</v>
      </c>
    </row>
    <row r="213" spans="2:3">
      <c r="B213" s="4" t="s">
        <v>1653</v>
      </c>
      <c r="C213" s="4" t="s">
        <v>1654</v>
      </c>
    </row>
    <row r="214" spans="2:3">
      <c r="B214" s="4" t="s">
        <v>1344</v>
      </c>
      <c r="C214" s="4" t="s">
        <v>1655</v>
      </c>
    </row>
    <row r="215" spans="2:3">
      <c r="B215" s="4" t="s">
        <v>795</v>
      </c>
      <c r="C215" s="4" t="s">
        <v>1656</v>
      </c>
    </row>
    <row r="216" spans="2:3">
      <c r="B216" s="4" t="s">
        <v>1657</v>
      </c>
      <c r="C216" s="4" t="s">
        <v>1658</v>
      </c>
    </row>
    <row r="217" spans="2:3">
      <c r="B217" s="4" t="s">
        <v>13</v>
      </c>
      <c r="C217" s="4" t="s">
        <v>1659</v>
      </c>
    </row>
    <row r="218" spans="2:3">
      <c r="B218" s="4" t="s">
        <v>14</v>
      </c>
      <c r="C218" s="4" t="s">
        <v>1660</v>
      </c>
    </row>
    <row r="219" spans="2:3">
      <c r="B219" s="4" t="s">
        <v>1661</v>
      </c>
      <c r="C219" s="4" t="s">
        <v>1662</v>
      </c>
    </row>
    <row r="220" spans="2:3">
      <c r="B220" s="4" t="s">
        <v>1663</v>
      </c>
      <c r="C220" s="4" t="s">
        <v>1664</v>
      </c>
    </row>
    <row r="221" spans="2:3">
      <c r="B221" s="4" t="s">
        <v>1665</v>
      </c>
      <c r="C221" s="4" t="s">
        <v>1666</v>
      </c>
    </row>
    <row r="222" spans="2:3">
      <c r="B222" s="4" t="s">
        <v>1667</v>
      </c>
      <c r="C222" s="4" t="s">
        <v>739</v>
      </c>
    </row>
    <row r="223" spans="2:3">
      <c r="B223" s="4" t="s">
        <v>1668</v>
      </c>
      <c r="C223" s="4" t="s">
        <v>740</v>
      </c>
    </row>
    <row r="224" spans="2:3">
      <c r="B224" s="4" t="s">
        <v>1669</v>
      </c>
      <c r="C224" s="4" t="s">
        <v>1670</v>
      </c>
    </row>
    <row r="225" spans="2:3">
      <c r="B225" s="4" t="s">
        <v>1671</v>
      </c>
      <c r="C225" s="4" t="s">
        <v>741</v>
      </c>
    </row>
    <row r="226" spans="2:3">
      <c r="B226" s="4" t="s">
        <v>1672</v>
      </c>
      <c r="C226" s="4" t="s">
        <v>692</v>
      </c>
    </row>
    <row r="227" spans="2:3">
      <c r="B227" s="4" t="s">
        <v>15</v>
      </c>
      <c r="C227" s="4" t="s">
        <v>1673</v>
      </c>
    </row>
    <row r="228" spans="2:3">
      <c r="B228" s="4" t="s">
        <v>16</v>
      </c>
      <c r="C228" s="4" t="s">
        <v>1674</v>
      </c>
    </row>
    <row r="229" spans="2:3">
      <c r="B229" s="4" t="s">
        <v>17</v>
      </c>
      <c r="C229" s="4" t="s">
        <v>1675</v>
      </c>
    </row>
    <row r="230" spans="2:3">
      <c r="B230" s="4" t="s">
        <v>18</v>
      </c>
      <c r="C230" s="4" t="s">
        <v>1676</v>
      </c>
    </row>
    <row r="231" spans="2:3">
      <c r="B231" s="4" t="s">
        <v>1677</v>
      </c>
      <c r="C231" s="4" t="s">
        <v>1678</v>
      </c>
    </row>
    <row r="232" spans="2:3">
      <c r="B232" s="4" t="s">
        <v>1679</v>
      </c>
      <c r="C232" s="4" t="s">
        <v>1680</v>
      </c>
    </row>
    <row r="233" spans="2:3">
      <c r="B233" s="4" t="s">
        <v>1681</v>
      </c>
      <c r="C233" s="4" t="s">
        <v>1682</v>
      </c>
    </row>
    <row r="234" spans="2:3">
      <c r="B234" s="4" t="s">
        <v>19</v>
      </c>
      <c r="C234" s="4" t="s">
        <v>1683</v>
      </c>
    </row>
    <row r="235" spans="2:3">
      <c r="B235" s="4" t="s">
        <v>20</v>
      </c>
      <c r="C235" s="4" t="s">
        <v>1684</v>
      </c>
    </row>
    <row r="236" spans="2:3">
      <c r="B236" s="4" t="s">
        <v>138</v>
      </c>
      <c r="C236" s="4" t="s">
        <v>1685</v>
      </c>
    </row>
    <row r="237" spans="2:3">
      <c r="B237" s="4" t="s">
        <v>139</v>
      </c>
      <c r="C237" s="4" t="s">
        <v>1686</v>
      </c>
    </row>
    <row r="238" spans="2:3">
      <c r="B238" s="4" t="s">
        <v>1687</v>
      </c>
      <c r="C238" s="4" t="s">
        <v>1688</v>
      </c>
    </row>
    <row r="239" spans="2:3">
      <c r="B239" s="4" t="s">
        <v>140</v>
      </c>
      <c r="C239" s="4" t="s">
        <v>1689</v>
      </c>
    </row>
    <row r="240" spans="2:3">
      <c r="B240" s="4" t="s">
        <v>1690</v>
      </c>
      <c r="C240" s="4" t="s">
        <v>1691</v>
      </c>
    </row>
    <row r="241" spans="2:3">
      <c r="B241" s="4" t="s">
        <v>1692</v>
      </c>
      <c r="C241" s="4" t="s">
        <v>1693</v>
      </c>
    </row>
    <row r="242" spans="2:3">
      <c r="B242" s="4" t="s">
        <v>1694</v>
      </c>
      <c r="C242" s="4" t="s">
        <v>1695</v>
      </c>
    </row>
    <row r="243" spans="2:3">
      <c r="B243" s="4" t="s">
        <v>141</v>
      </c>
      <c r="C243" s="4" t="s">
        <v>1696</v>
      </c>
    </row>
    <row r="244" spans="2:3">
      <c r="B244" s="4" t="s">
        <v>142</v>
      </c>
      <c r="C244" s="4" t="s">
        <v>1697</v>
      </c>
    </row>
    <row r="245" spans="2:3">
      <c r="B245" s="4" t="s">
        <v>143</v>
      </c>
      <c r="C245" s="4" t="s">
        <v>1698</v>
      </c>
    </row>
    <row r="246" spans="2:3">
      <c r="B246" s="4" t="s">
        <v>144</v>
      </c>
      <c r="C246" s="4" t="s">
        <v>1699</v>
      </c>
    </row>
    <row r="247" spans="2:3">
      <c r="B247" s="4" t="s">
        <v>1700</v>
      </c>
      <c r="C247" s="4" t="s">
        <v>1701</v>
      </c>
    </row>
    <row r="248" spans="2:3">
      <c r="B248" s="4" t="s">
        <v>1702</v>
      </c>
      <c r="C248" s="4" t="s">
        <v>1703</v>
      </c>
    </row>
    <row r="249" spans="2:3">
      <c r="B249" s="4" t="s">
        <v>145</v>
      </c>
      <c r="C249" s="4" t="s">
        <v>1704</v>
      </c>
    </row>
    <row r="250" spans="2:3">
      <c r="B250" s="4" t="s">
        <v>1705</v>
      </c>
      <c r="C250" s="4" t="s">
        <v>1706</v>
      </c>
    </row>
    <row r="251" spans="2:3">
      <c r="B251" s="4" t="s">
        <v>146</v>
      </c>
      <c r="C251" s="4" t="s">
        <v>1707</v>
      </c>
    </row>
    <row r="252" spans="2:3">
      <c r="B252" s="4" t="s">
        <v>147</v>
      </c>
      <c r="C252" s="4" t="s">
        <v>1708</v>
      </c>
    </row>
    <row r="253" spans="2:3">
      <c r="B253" s="4" t="s">
        <v>148</v>
      </c>
      <c r="C253" s="4" t="s">
        <v>1709</v>
      </c>
    </row>
    <row r="254" spans="2:3">
      <c r="B254" s="4" t="s">
        <v>149</v>
      </c>
      <c r="C254" s="4" t="s">
        <v>1710</v>
      </c>
    </row>
    <row r="255" spans="2:3">
      <c r="B255" s="4" t="s">
        <v>366</v>
      </c>
      <c r="C255" s="4" t="s">
        <v>1711</v>
      </c>
    </row>
    <row r="256" spans="2:3">
      <c r="B256" s="4" t="s">
        <v>367</v>
      </c>
      <c r="C256" s="4" t="s">
        <v>1712</v>
      </c>
    </row>
    <row r="257" spans="2:3">
      <c r="B257" s="4" t="s">
        <v>368</v>
      </c>
      <c r="C257" s="4" t="s">
        <v>1713</v>
      </c>
    </row>
    <row r="258" spans="2:3">
      <c r="B258" s="4" t="s">
        <v>369</v>
      </c>
      <c r="C258" s="4" t="s">
        <v>1714</v>
      </c>
    </row>
    <row r="259" spans="2:3">
      <c r="B259" s="4" t="s">
        <v>370</v>
      </c>
      <c r="C259" s="4" t="s">
        <v>1715</v>
      </c>
    </row>
    <row r="260" spans="2:3">
      <c r="B260" s="4" t="s">
        <v>1716</v>
      </c>
      <c r="C260" s="4" t="s">
        <v>1717</v>
      </c>
    </row>
    <row r="261" spans="2:3">
      <c r="B261" s="4" t="s">
        <v>1718</v>
      </c>
      <c r="C261" s="4" t="s">
        <v>1719</v>
      </c>
    </row>
    <row r="262" spans="2:3">
      <c r="B262" s="4" t="s">
        <v>371</v>
      </c>
      <c r="C262" s="4" t="s">
        <v>1720</v>
      </c>
    </row>
    <row r="263" spans="2:3">
      <c r="B263" s="4" t="s">
        <v>372</v>
      </c>
      <c r="C263" s="4" t="s">
        <v>1721</v>
      </c>
    </row>
    <row r="264" spans="2:3">
      <c r="B264" s="4" t="s">
        <v>1722</v>
      </c>
      <c r="C264" s="4" t="s">
        <v>1723</v>
      </c>
    </row>
    <row r="265" spans="2:3">
      <c r="B265" s="4" t="s">
        <v>1724</v>
      </c>
      <c r="C265" s="4" t="s">
        <v>1725</v>
      </c>
    </row>
    <row r="266" spans="2:3">
      <c r="B266" s="4" t="s">
        <v>373</v>
      </c>
      <c r="C266" s="4" t="s">
        <v>1726</v>
      </c>
    </row>
    <row r="267" spans="2:3">
      <c r="B267" s="4" t="s">
        <v>200</v>
      </c>
      <c r="C267" s="4" t="s">
        <v>1727</v>
      </c>
    </row>
    <row r="268" spans="2:3">
      <c r="B268" s="4" t="s">
        <v>374</v>
      </c>
      <c r="C268" s="4" t="s">
        <v>1728</v>
      </c>
    </row>
    <row r="269" spans="2:3">
      <c r="B269" s="4" t="s">
        <v>375</v>
      </c>
      <c r="C269" s="4" t="s">
        <v>1729</v>
      </c>
    </row>
    <row r="270" spans="2:3">
      <c r="B270" s="4" t="s">
        <v>1730</v>
      </c>
      <c r="C270" s="4" t="s">
        <v>1731</v>
      </c>
    </row>
    <row r="271" spans="2:3">
      <c r="B271" s="4" t="s">
        <v>1732</v>
      </c>
      <c r="C271" s="4" t="s">
        <v>1733</v>
      </c>
    </row>
    <row r="272" spans="2:3">
      <c r="B272" s="4" t="s">
        <v>1734</v>
      </c>
      <c r="C272" s="4" t="s">
        <v>1735</v>
      </c>
    </row>
    <row r="273" spans="2:3">
      <c r="B273" s="4" t="s">
        <v>1736</v>
      </c>
      <c r="C273" s="4" t="s">
        <v>1737</v>
      </c>
    </row>
    <row r="274" spans="2:3">
      <c r="B274" s="4" t="s">
        <v>1738</v>
      </c>
      <c r="C274" s="4" t="s">
        <v>1739</v>
      </c>
    </row>
    <row r="275" spans="2:3">
      <c r="B275" s="4" t="s">
        <v>1740</v>
      </c>
      <c r="C275" s="4" t="s">
        <v>1741</v>
      </c>
    </row>
    <row r="276" spans="2:3">
      <c r="B276" s="4" t="s">
        <v>1742</v>
      </c>
      <c r="C276" s="4" t="s">
        <v>1743</v>
      </c>
    </row>
    <row r="277" spans="2:3">
      <c r="B277" s="4" t="s">
        <v>1744</v>
      </c>
      <c r="C277" s="4" t="s">
        <v>1745</v>
      </c>
    </row>
    <row r="278" spans="2:3">
      <c r="B278" s="4" t="s">
        <v>1746</v>
      </c>
      <c r="C278" s="4" t="s">
        <v>1747</v>
      </c>
    </row>
    <row r="279" spans="2:3">
      <c r="B279" s="4" t="s">
        <v>1748</v>
      </c>
      <c r="C279" s="4" t="s">
        <v>1749</v>
      </c>
    </row>
    <row r="280" spans="2:3">
      <c r="B280" s="4" t="s">
        <v>1750</v>
      </c>
      <c r="C280" s="4" t="s">
        <v>1751</v>
      </c>
    </row>
    <row r="281" spans="2:3">
      <c r="B281" s="4" t="s">
        <v>1752</v>
      </c>
      <c r="C281" s="4" t="s">
        <v>1753</v>
      </c>
    </row>
    <row r="282" spans="2:3">
      <c r="B282" s="4" t="s">
        <v>703</v>
      </c>
      <c r="C282" s="4" t="s">
        <v>1754</v>
      </c>
    </row>
    <row r="283" spans="2:3">
      <c r="B283" s="4" t="s">
        <v>704</v>
      </c>
      <c r="C283" s="4" t="s">
        <v>1755</v>
      </c>
    </row>
    <row r="284" spans="2:3">
      <c r="B284" s="4" t="s">
        <v>705</v>
      </c>
      <c r="C284" s="4" t="s">
        <v>1756</v>
      </c>
    </row>
    <row r="285" spans="2:3">
      <c r="B285" s="4" t="s">
        <v>706</v>
      </c>
      <c r="C285" s="4" t="s">
        <v>1757</v>
      </c>
    </row>
    <row r="286" spans="2:3">
      <c r="B286" s="4" t="s">
        <v>707</v>
      </c>
      <c r="C286" s="4" t="s">
        <v>1758</v>
      </c>
    </row>
    <row r="287" spans="2:3">
      <c r="B287" s="4" t="s">
        <v>801</v>
      </c>
      <c r="C287" s="4" t="s">
        <v>1759</v>
      </c>
    </row>
    <row r="288" spans="2:3">
      <c r="B288" s="4" t="s">
        <v>1760</v>
      </c>
      <c r="C288" s="4" t="s">
        <v>1761</v>
      </c>
    </row>
    <row r="289" spans="2:3">
      <c r="B289" s="4" t="s">
        <v>1762</v>
      </c>
      <c r="C289" s="4" t="s">
        <v>1763</v>
      </c>
    </row>
    <row r="290" spans="2:3">
      <c r="B290" s="4" t="s">
        <v>1764</v>
      </c>
      <c r="C290" s="4" t="s">
        <v>1765</v>
      </c>
    </row>
    <row r="291" spans="2:3">
      <c r="B291" s="4" t="s">
        <v>1766</v>
      </c>
      <c r="C291" s="4" t="s">
        <v>1767</v>
      </c>
    </row>
    <row r="292" spans="2:3">
      <c r="B292" s="4" t="s">
        <v>1035</v>
      </c>
      <c r="C292" s="4" t="s">
        <v>1768</v>
      </c>
    </row>
    <row r="293" spans="2:3">
      <c r="B293" s="4" t="s">
        <v>1036</v>
      </c>
      <c r="C293" s="4" t="s">
        <v>1769</v>
      </c>
    </row>
    <row r="294" spans="2:3">
      <c r="B294" s="4" t="s">
        <v>1037</v>
      </c>
      <c r="C294" s="4" t="s">
        <v>1770</v>
      </c>
    </row>
    <row r="295" spans="2:3">
      <c r="B295" s="4" t="s">
        <v>1038</v>
      </c>
      <c r="C295" s="4" t="s">
        <v>1771</v>
      </c>
    </row>
    <row r="296" spans="2:3">
      <c r="B296" s="4" t="s">
        <v>1039</v>
      </c>
      <c r="C296" s="4" t="s">
        <v>1772</v>
      </c>
    </row>
    <row r="297" spans="2:3">
      <c r="B297" s="4" t="s">
        <v>1773</v>
      </c>
      <c r="C297" s="4" t="s">
        <v>1774</v>
      </c>
    </row>
    <row r="298" spans="2:3">
      <c r="B298" s="4" t="s">
        <v>1775</v>
      </c>
      <c r="C298" s="4" t="s">
        <v>1776</v>
      </c>
    </row>
    <row r="299" spans="2:3">
      <c r="B299" s="4" t="s">
        <v>1206</v>
      </c>
      <c r="C299" s="4" t="s">
        <v>1777</v>
      </c>
    </row>
    <row r="300" spans="2:3">
      <c r="B300" s="4" t="s">
        <v>1207</v>
      </c>
      <c r="C300" s="4" t="s">
        <v>1778</v>
      </c>
    </row>
    <row r="301" spans="2:3">
      <c r="B301" s="4" t="s">
        <v>1208</v>
      </c>
      <c r="C301" s="4" t="s">
        <v>1779</v>
      </c>
    </row>
    <row r="302" spans="2:3">
      <c r="B302" s="4" t="s">
        <v>1209</v>
      </c>
      <c r="C302" s="4" t="s">
        <v>1780</v>
      </c>
    </row>
    <row r="303" spans="2:3">
      <c r="B303" s="4" t="s">
        <v>1781</v>
      </c>
      <c r="C303" s="4" t="s">
        <v>1782</v>
      </c>
    </row>
    <row r="304" spans="2:3">
      <c r="B304" s="4" t="s">
        <v>1783</v>
      </c>
      <c r="C304" s="4" t="s">
        <v>1784</v>
      </c>
    </row>
    <row r="305" spans="2:3">
      <c r="B305" s="4" t="s">
        <v>1785</v>
      </c>
      <c r="C305" s="4" t="s">
        <v>1786</v>
      </c>
    </row>
    <row r="306" spans="2:3">
      <c r="B306" s="4" t="s">
        <v>377</v>
      </c>
      <c r="C306" s="4" t="s">
        <v>1787</v>
      </c>
    </row>
    <row r="307" spans="2:3">
      <c r="B307" s="4" t="s">
        <v>378</v>
      </c>
      <c r="C307" s="4" t="s">
        <v>1788</v>
      </c>
    </row>
    <row r="308" spans="2:3">
      <c r="B308" s="4" t="s">
        <v>379</v>
      </c>
      <c r="C308" s="4" t="s">
        <v>1789</v>
      </c>
    </row>
    <row r="309" spans="2:3">
      <c r="B309" s="4" t="s">
        <v>1790</v>
      </c>
      <c r="C309" s="4" t="s">
        <v>1791</v>
      </c>
    </row>
    <row r="310" spans="2:3">
      <c r="B310" s="4" t="s">
        <v>1792</v>
      </c>
      <c r="C310" s="4" t="s">
        <v>1793</v>
      </c>
    </row>
    <row r="311" spans="2:3">
      <c r="B311" s="4" t="s">
        <v>544</v>
      </c>
      <c r="C311" s="4" t="s">
        <v>1794</v>
      </c>
    </row>
    <row r="312" spans="2:3">
      <c r="B312" s="4" t="s">
        <v>1795</v>
      </c>
      <c r="C312" s="4" t="s">
        <v>1796</v>
      </c>
    </row>
    <row r="313" spans="2:3">
      <c r="B313" s="4" t="s">
        <v>1797</v>
      </c>
      <c r="C313" s="4" t="s">
        <v>1798</v>
      </c>
    </row>
    <row r="314" spans="2:3">
      <c r="B314" s="4" t="s">
        <v>1799</v>
      </c>
      <c r="C314" s="4" t="s">
        <v>1800</v>
      </c>
    </row>
    <row r="315" spans="2:3">
      <c r="B315" s="4" t="s">
        <v>1801</v>
      </c>
      <c r="C315" s="4" t="s">
        <v>1802</v>
      </c>
    </row>
    <row r="316" spans="2:3">
      <c r="B316" s="4" t="s">
        <v>1803</v>
      </c>
      <c r="C316" s="4" t="s">
        <v>1804</v>
      </c>
    </row>
    <row r="317" spans="2:3">
      <c r="B317" s="4" t="s">
        <v>1805</v>
      </c>
      <c r="C317" s="4" t="s">
        <v>1806</v>
      </c>
    </row>
    <row r="318" spans="2:3">
      <c r="B318" s="4" t="s">
        <v>1807</v>
      </c>
      <c r="C318" s="4" t="s">
        <v>1808</v>
      </c>
    </row>
    <row r="319" spans="2:3">
      <c r="B319" s="4" t="s">
        <v>1809</v>
      </c>
      <c r="C319" s="4" t="s">
        <v>1810</v>
      </c>
    </row>
    <row r="320" spans="2:3">
      <c r="B320" s="4" t="s">
        <v>1811</v>
      </c>
      <c r="C320" s="4" t="s">
        <v>742</v>
      </c>
    </row>
    <row r="321" spans="2:3">
      <c r="B321" s="4" t="s">
        <v>1812</v>
      </c>
      <c r="C321" s="4" t="s">
        <v>743</v>
      </c>
    </row>
    <row r="322" spans="2:3">
      <c r="B322" s="4" t="s">
        <v>380</v>
      </c>
      <c r="C322" s="4" t="s">
        <v>744</v>
      </c>
    </row>
    <row r="323" spans="2:3">
      <c r="B323" s="4" t="s">
        <v>1813</v>
      </c>
      <c r="C323" s="4" t="s">
        <v>745</v>
      </c>
    </row>
    <row r="324" spans="2:3">
      <c r="B324" s="4" t="s">
        <v>1814</v>
      </c>
      <c r="C324" s="4" t="s">
        <v>1815</v>
      </c>
    </row>
    <row r="325" spans="2:3">
      <c r="B325" s="4" t="s">
        <v>202</v>
      </c>
      <c r="C325" s="4" t="s">
        <v>1816</v>
      </c>
    </row>
    <row r="326" spans="2:3">
      <c r="B326" s="4" t="s">
        <v>203</v>
      </c>
      <c r="C326" s="4" t="s">
        <v>1817</v>
      </c>
    </row>
    <row r="327" spans="2:3">
      <c r="B327" s="4" t="s">
        <v>1818</v>
      </c>
      <c r="C327" s="4" t="s">
        <v>1819</v>
      </c>
    </row>
    <row r="328" spans="2:3">
      <c r="B328" s="4" t="s">
        <v>1820</v>
      </c>
      <c r="C328" s="4" t="s">
        <v>1821</v>
      </c>
    </row>
    <row r="329" spans="2:3">
      <c r="B329" s="4" t="s">
        <v>94</v>
      </c>
      <c r="C329" s="4" t="s">
        <v>1822</v>
      </c>
    </row>
    <row r="330" spans="2:3">
      <c r="B330" s="4" t="s">
        <v>95</v>
      </c>
      <c r="C330" s="4" t="s">
        <v>1823</v>
      </c>
    </row>
    <row r="331" spans="2:3">
      <c r="B331" s="4" t="s">
        <v>96</v>
      </c>
      <c r="C331" s="4" t="s">
        <v>1824</v>
      </c>
    </row>
    <row r="332" spans="2:3">
      <c r="B332" s="4" t="s">
        <v>97</v>
      </c>
      <c r="C332" s="4" t="s">
        <v>1825</v>
      </c>
    </row>
    <row r="333" spans="2:3">
      <c r="B333" s="4" t="s">
        <v>98</v>
      </c>
      <c r="C333" s="4" t="s">
        <v>1826</v>
      </c>
    </row>
    <row r="334" spans="2:3">
      <c r="B334" s="4" t="s">
        <v>99</v>
      </c>
      <c r="C334" s="4" t="s">
        <v>1827</v>
      </c>
    </row>
    <row r="335" spans="2:3">
      <c r="B335" s="4" t="s">
        <v>100</v>
      </c>
      <c r="C335" s="4" t="s">
        <v>1828</v>
      </c>
    </row>
    <row r="336" spans="2:3">
      <c r="B336" s="4" t="s">
        <v>534</v>
      </c>
      <c r="C336" s="4" t="s">
        <v>1829</v>
      </c>
    </row>
    <row r="337" spans="2:3">
      <c r="B337" s="4" t="s">
        <v>536</v>
      </c>
      <c r="C337" s="4" t="s">
        <v>1830</v>
      </c>
    </row>
    <row r="338" spans="2:3">
      <c r="B338" s="4" t="s">
        <v>1210</v>
      </c>
      <c r="C338" s="4" t="s">
        <v>1831</v>
      </c>
    </row>
    <row r="339" spans="2:3">
      <c r="B339" s="4" t="s">
        <v>1211</v>
      </c>
      <c r="C339" s="4" t="s">
        <v>1832</v>
      </c>
    </row>
    <row r="340" spans="2:3">
      <c r="B340" s="4" t="s">
        <v>1212</v>
      </c>
      <c r="C340" s="4" t="s">
        <v>1833</v>
      </c>
    </row>
    <row r="341" spans="2:3">
      <c r="B341" s="4" t="s">
        <v>1213</v>
      </c>
      <c r="C341" s="4" t="s">
        <v>1834</v>
      </c>
    </row>
    <row r="342" spans="2:3">
      <c r="B342" s="4" t="s">
        <v>1214</v>
      </c>
      <c r="C342" s="4" t="s">
        <v>1835</v>
      </c>
    </row>
    <row r="343" spans="2:3">
      <c r="B343" s="4" t="s">
        <v>1215</v>
      </c>
      <c r="C343" s="4" t="s">
        <v>1836</v>
      </c>
    </row>
    <row r="344" spans="2:3">
      <c r="B344" s="4" t="s">
        <v>1216</v>
      </c>
      <c r="C344" s="4" t="s">
        <v>1837</v>
      </c>
    </row>
    <row r="345" spans="2:3">
      <c r="B345" s="4" t="s">
        <v>1217</v>
      </c>
      <c r="C345" s="4" t="s">
        <v>1838</v>
      </c>
    </row>
    <row r="346" spans="2:3">
      <c r="B346" s="4" t="s">
        <v>1218</v>
      </c>
      <c r="C346" s="4" t="s">
        <v>1839</v>
      </c>
    </row>
    <row r="347" spans="2:3">
      <c r="B347" s="4" t="s">
        <v>1219</v>
      </c>
      <c r="C347" s="4" t="s">
        <v>1840</v>
      </c>
    </row>
    <row r="348" spans="2:3">
      <c r="B348" s="4" t="s">
        <v>1220</v>
      </c>
      <c r="C348" s="4" t="s">
        <v>1841</v>
      </c>
    </row>
    <row r="349" spans="2:3">
      <c r="B349" s="4" t="s">
        <v>1221</v>
      </c>
      <c r="C349" s="4" t="s">
        <v>1842</v>
      </c>
    </row>
    <row r="350" spans="2:3">
      <c r="B350" s="4" t="s">
        <v>1222</v>
      </c>
      <c r="C350" s="4" t="s">
        <v>1843</v>
      </c>
    </row>
    <row r="351" spans="2:3">
      <c r="B351" s="4" t="s">
        <v>1223</v>
      </c>
      <c r="C351" s="4" t="s">
        <v>1844</v>
      </c>
    </row>
    <row r="352" spans="2:3">
      <c r="B352" s="4" t="s">
        <v>1224</v>
      </c>
      <c r="C352" s="4" t="s">
        <v>1845</v>
      </c>
    </row>
    <row r="353" spans="2:3">
      <c r="B353" s="4" t="s">
        <v>1225</v>
      </c>
      <c r="C353" s="4" t="s">
        <v>1846</v>
      </c>
    </row>
    <row r="354" spans="2:3">
      <c r="B354" s="4" t="s">
        <v>1226</v>
      </c>
      <c r="C354" s="4" t="s">
        <v>1847</v>
      </c>
    </row>
    <row r="355" spans="2:3">
      <c r="B355" s="4" t="s">
        <v>1227</v>
      </c>
      <c r="C355" s="4" t="s">
        <v>1848</v>
      </c>
    </row>
    <row r="356" spans="2:3">
      <c r="B356" s="4" t="s">
        <v>1228</v>
      </c>
      <c r="C356" s="4" t="s">
        <v>1849</v>
      </c>
    </row>
    <row r="357" spans="2:3">
      <c r="B357" s="4" t="s">
        <v>1229</v>
      </c>
      <c r="C357" s="4" t="s">
        <v>1850</v>
      </c>
    </row>
    <row r="358" spans="2:3">
      <c r="B358" s="4" t="s">
        <v>1230</v>
      </c>
      <c r="C358" s="4" t="s">
        <v>1851</v>
      </c>
    </row>
    <row r="359" spans="2:3">
      <c r="B359" s="4" t="s">
        <v>1231</v>
      </c>
      <c r="C359" s="4" t="s">
        <v>1852</v>
      </c>
    </row>
    <row r="360" spans="2:3">
      <c r="B360" s="4" t="s">
        <v>1232</v>
      </c>
      <c r="C360" s="4" t="s">
        <v>1853</v>
      </c>
    </row>
    <row r="361" spans="2:3">
      <c r="B361" s="4" t="s">
        <v>1233</v>
      </c>
      <c r="C361" s="4" t="s">
        <v>1854</v>
      </c>
    </row>
    <row r="362" spans="2:3">
      <c r="B362" s="4" t="s">
        <v>1234</v>
      </c>
      <c r="C362" s="4" t="s">
        <v>1855</v>
      </c>
    </row>
    <row r="363" spans="2:3">
      <c r="B363" s="4" t="s">
        <v>1235</v>
      </c>
      <c r="C363" s="4" t="s">
        <v>1856</v>
      </c>
    </row>
    <row r="364" spans="2:3">
      <c r="B364" s="4" t="s">
        <v>1236</v>
      </c>
      <c r="C364" s="4" t="s">
        <v>1857</v>
      </c>
    </row>
    <row r="365" spans="2:3">
      <c r="B365" s="4" t="s">
        <v>1237</v>
      </c>
      <c r="C365" s="4" t="s">
        <v>1858</v>
      </c>
    </row>
    <row r="366" spans="2:3">
      <c r="B366" s="4" t="s">
        <v>1238</v>
      </c>
      <c r="C366" s="4" t="s">
        <v>1859</v>
      </c>
    </row>
    <row r="367" spans="2:3">
      <c r="B367" s="4" t="s">
        <v>1239</v>
      </c>
      <c r="C367" s="4" t="s">
        <v>1860</v>
      </c>
    </row>
    <row r="368" spans="2:3">
      <c r="B368" s="4" t="s">
        <v>1240</v>
      </c>
      <c r="C368" s="4" t="s">
        <v>1861</v>
      </c>
    </row>
    <row r="369" spans="2:3">
      <c r="B369" s="4" t="s">
        <v>1241</v>
      </c>
      <c r="C369" s="4" t="s">
        <v>1862</v>
      </c>
    </row>
    <row r="370" spans="2:3">
      <c r="B370" s="4" t="s">
        <v>538</v>
      </c>
      <c r="C370" s="4" t="s">
        <v>1863</v>
      </c>
    </row>
    <row r="371" spans="2:3">
      <c r="B371" s="4" t="s">
        <v>540</v>
      </c>
      <c r="C371" s="4" t="s">
        <v>1864</v>
      </c>
    </row>
    <row r="372" spans="2:3">
      <c r="B372" s="4" t="s">
        <v>541</v>
      </c>
      <c r="C372" s="4" t="s">
        <v>1865</v>
      </c>
    </row>
    <row r="373" spans="2:3">
      <c r="B373" s="4" t="s">
        <v>543</v>
      </c>
      <c r="C373" s="4" t="s">
        <v>1866</v>
      </c>
    </row>
    <row r="374" spans="2:3">
      <c r="B374" s="4" t="s">
        <v>640</v>
      </c>
      <c r="C374" s="4" t="s">
        <v>1867</v>
      </c>
    </row>
    <row r="375" spans="2:3">
      <c r="B375" s="4" t="s">
        <v>642</v>
      </c>
      <c r="C375" s="4" t="s">
        <v>1868</v>
      </c>
    </row>
    <row r="376" spans="2:3">
      <c r="B376" s="4" t="s">
        <v>644</v>
      </c>
      <c r="C376" s="4" t="s">
        <v>1869</v>
      </c>
    </row>
    <row r="377" spans="2:3">
      <c r="B377" s="4" t="s">
        <v>645</v>
      </c>
      <c r="C377" s="4" t="s">
        <v>1870</v>
      </c>
    </row>
    <row r="378" spans="2:3">
      <c r="B378" s="4" t="s">
        <v>646</v>
      </c>
      <c r="C378" s="4" t="s">
        <v>1871</v>
      </c>
    </row>
    <row r="379" spans="2:3">
      <c r="B379" s="4" t="s">
        <v>647</v>
      </c>
      <c r="C379" s="4" t="s">
        <v>1872</v>
      </c>
    </row>
    <row r="380" spans="2:3">
      <c r="B380" s="4" t="s">
        <v>359</v>
      </c>
      <c r="C380" s="4" t="s">
        <v>1873</v>
      </c>
    </row>
    <row r="381" spans="2:3">
      <c r="B381" s="4" t="s">
        <v>1874</v>
      </c>
      <c r="C381" s="4" t="s">
        <v>1875</v>
      </c>
    </row>
    <row r="382" spans="2:3">
      <c r="B382" s="4" t="s">
        <v>85</v>
      </c>
      <c r="C382" s="4" t="s">
        <v>1876</v>
      </c>
    </row>
    <row r="383" spans="2:3">
      <c r="B383" s="4" t="s">
        <v>86</v>
      </c>
      <c r="C383" s="4" t="s">
        <v>1877</v>
      </c>
    </row>
    <row r="384" spans="2:3">
      <c r="B384" s="4" t="s">
        <v>87</v>
      </c>
      <c r="C384" s="4" t="s">
        <v>1878</v>
      </c>
    </row>
    <row r="385" spans="2:3">
      <c r="B385" s="4" t="s">
        <v>88</v>
      </c>
      <c r="C385" s="4" t="s">
        <v>1879</v>
      </c>
    </row>
    <row r="386" spans="2:3">
      <c r="B386" s="4" t="s">
        <v>89</v>
      </c>
      <c r="C386" s="4" t="s">
        <v>1880</v>
      </c>
    </row>
    <row r="387" spans="2:3">
      <c r="B387" s="4" t="s">
        <v>90</v>
      </c>
      <c r="C387" s="4" t="s">
        <v>1881</v>
      </c>
    </row>
    <row r="388" spans="2:3">
      <c r="B388" s="4" t="s">
        <v>91</v>
      </c>
      <c r="C388" s="4" t="s">
        <v>1882</v>
      </c>
    </row>
    <row r="389" spans="2:3">
      <c r="B389" s="4" t="s">
        <v>92</v>
      </c>
      <c r="C389" s="4" t="s">
        <v>1883</v>
      </c>
    </row>
    <row r="390" spans="2:3">
      <c r="B390" s="4" t="s">
        <v>93</v>
      </c>
      <c r="C390" s="4" t="s">
        <v>1884</v>
      </c>
    </row>
    <row r="391" spans="2:3">
      <c r="B391" s="4" t="s">
        <v>235</v>
      </c>
      <c r="C391" s="4" t="s">
        <v>1885</v>
      </c>
    </row>
    <row r="392" spans="2:3">
      <c r="B392" s="4" t="s">
        <v>1886</v>
      </c>
      <c r="C392" s="4" t="s">
        <v>1887</v>
      </c>
    </row>
    <row r="393" spans="2:3">
      <c r="B393" s="4" t="s">
        <v>1888</v>
      </c>
      <c r="C393" s="4" t="s">
        <v>1889</v>
      </c>
    </row>
    <row r="394" spans="2:3">
      <c r="B394" s="4" t="s">
        <v>236</v>
      </c>
      <c r="C394" s="4" t="s">
        <v>1890</v>
      </c>
    </row>
    <row r="395" spans="2:3">
      <c r="B395" s="4" t="s">
        <v>237</v>
      </c>
      <c r="C395" s="4" t="s">
        <v>1891</v>
      </c>
    </row>
    <row r="396" spans="2:3">
      <c r="B396" s="4" t="s">
        <v>1892</v>
      </c>
      <c r="C396" s="4" t="s">
        <v>1893</v>
      </c>
    </row>
    <row r="397" spans="2:3">
      <c r="B397" s="4" t="s">
        <v>238</v>
      </c>
      <c r="C397" s="4" t="s">
        <v>1894</v>
      </c>
    </row>
    <row r="398" spans="2:3">
      <c r="B398" s="4" t="s">
        <v>239</v>
      </c>
      <c r="C398" s="4" t="s">
        <v>1895</v>
      </c>
    </row>
    <row r="399" spans="2:3">
      <c r="B399" s="4" t="s">
        <v>240</v>
      </c>
      <c r="C399" s="4" t="s">
        <v>1896</v>
      </c>
    </row>
    <row r="400" spans="2:3">
      <c r="B400" s="4" t="s">
        <v>241</v>
      </c>
      <c r="C400" s="4" t="s">
        <v>1897</v>
      </c>
    </row>
    <row r="401" spans="2:3">
      <c r="B401" s="4" t="s">
        <v>242</v>
      </c>
      <c r="C401" s="4" t="s">
        <v>1898</v>
      </c>
    </row>
    <row r="402" spans="2:3">
      <c r="B402" s="4" t="s">
        <v>243</v>
      </c>
      <c r="C402" s="4" t="s">
        <v>1899</v>
      </c>
    </row>
    <row r="403" spans="2:3">
      <c r="B403" s="4" t="s">
        <v>244</v>
      </c>
      <c r="C403" s="4" t="s">
        <v>1900</v>
      </c>
    </row>
    <row r="404" spans="2:3">
      <c r="B404" s="4" t="s">
        <v>245</v>
      </c>
      <c r="C404" s="4" t="s">
        <v>1901</v>
      </c>
    </row>
    <row r="405" spans="2:3">
      <c r="B405" s="4" t="s">
        <v>246</v>
      </c>
      <c r="C405" s="4" t="s">
        <v>1902</v>
      </c>
    </row>
    <row r="406" spans="2:3">
      <c r="B406" s="4" t="s">
        <v>247</v>
      </c>
      <c r="C406" s="4" t="s">
        <v>1903</v>
      </c>
    </row>
    <row r="407" spans="2:3">
      <c r="B407" s="4" t="s">
        <v>1904</v>
      </c>
      <c r="C407" s="4" t="s">
        <v>1905</v>
      </c>
    </row>
    <row r="408" spans="2:3">
      <c r="B408" s="4" t="s">
        <v>61</v>
      </c>
      <c r="C408" s="4" t="s">
        <v>1906</v>
      </c>
    </row>
    <row r="409" spans="2:3">
      <c r="B409" s="4" t="s">
        <v>1907</v>
      </c>
      <c r="C409" s="4" t="s">
        <v>1908</v>
      </c>
    </row>
    <row r="410" spans="2:3">
      <c r="B410" s="4" t="s">
        <v>1909</v>
      </c>
      <c r="C410" s="4" t="s">
        <v>1910</v>
      </c>
    </row>
    <row r="411" spans="2:3">
      <c r="B411" s="4" t="s">
        <v>1911</v>
      </c>
      <c r="C411" s="4" t="s">
        <v>1912</v>
      </c>
    </row>
    <row r="412" spans="2:3">
      <c r="B412" s="4" t="s">
        <v>1913</v>
      </c>
      <c r="C412" s="4" t="s">
        <v>1914</v>
      </c>
    </row>
    <row r="413" spans="2:3">
      <c r="B413" s="4" t="s">
        <v>1915</v>
      </c>
      <c r="C413" s="4" t="s">
        <v>1916</v>
      </c>
    </row>
    <row r="414" spans="2:3">
      <c r="B414" s="4" t="s">
        <v>1917</v>
      </c>
      <c r="C414" s="4" t="s">
        <v>1918</v>
      </c>
    </row>
    <row r="415" spans="2:3">
      <c r="B415" s="4" t="s">
        <v>1919</v>
      </c>
      <c r="C415" s="4" t="s">
        <v>1920</v>
      </c>
    </row>
    <row r="416" spans="2:3">
      <c r="B416" s="4" t="s">
        <v>1921</v>
      </c>
      <c r="C416" s="4" t="s">
        <v>1922</v>
      </c>
    </row>
    <row r="417" spans="2:3">
      <c r="B417" s="4" t="s">
        <v>1923</v>
      </c>
      <c r="C417" s="4" t="s">
        <v>1924</v>
      </c>
    </row>
    <row r="418" spans="2:3">
      <c r="B418" s="4" t="s">
        <v>1925</v>
      </c>
      <c r="C418" s="4" t="s">
        <v>1926</v>
      </c>
    </row>
    <row r="419" spans="2:3">
      <c r="B419" s="4" t="s">
        <v>1927</v>
      </c>
      <c r="C419" s="4" t="s">
        <v>1928</v>
      </c>
    </row>
    <row r="420" spans="2:3">
      <c r="B420" s="4" t="s">
        <v>1929</v>
      </c>
      <c r="C420" s="4" t="s">
        <v>1930</v>
      </c>
    </row>
    <row r="421" spans="2:3">
      <c r="B421" s="4" t="s">
        <v>1931</v>
      </c>
      <c r="C421" s="4" t="s">
        <v>1932</v>
      </c>
    </row>
    <row r="422" spans="2:3">
      <c r="B422" s="4" t="s">
        <v>1933</v>
      </c>
      <c r="C422" s="4" t="s">
        <v>1934</v>
      </c>
    </row>
    <row r="423" spans="2:3">
      <c r="B423" s="4" t="s">
        <v>1935</v>
      </c>
      <c r="C423" s="4" t="s">
        <v>1936</v>
      </c>
    </row>
    <row r="424" spans="2:3">
      <c r="B424" s="4" t="s">
        <v>762</v>
      </c>
      <c r="C424" s="4" t="s">
        <v>1937</v>
      </c>
    </row>
    <row r="425" spans="2:3">
      <c r="B425" s="4" t="s">
        <v>763</v>
      </c>
      <c r="C425" s="4" t="s">
        <v>1938</v>
      </c>
    </row>
    <row r="426" spans="2:3">
      <c r="B426" s="4" t="s">
        <v>1939</v>
      </c>
      <c r="C426" s="4" t="s">
        <v>1940</v>
      </c>
    </row>
    <row r="427" spans="2:3">
      <c r="B427" s="4" t="s">
        <v>1941</v>
      </c>
      <c r="C427" s="4" t="s">
        <v>1942</v>
      </c>
    </row>
    <row r="428" spans="2:3">
      <c r="B428" s="4" t="s">
        <v>1943</v>
      </c>
      <c r="C428" s="4" t="s">
        <v>1944</v>
      </c>
    </row>
    <row r="429" spans="2:3">
      <c r="B429" s="4" t="s">
        <v>1945</v>
      </c>
      <c r="C429" s="4" t="s">
        <v>1946</v>
      </c>
    </row>
    <row r="430" spans="2:3">
      <c r="B430" s="4" t="s">
        <v>1947</v>
      </c>
      <c r="C430" s="4" t="s">
        <v>1948</v>
      </c>
    </row>
    <row r="431" spans="2:3">
      <c r="B431" s="4" t="s">
        <v>1949</v>
      </c>
      <c r="C431" s="4" t="s">
        <v>1950</v>
      </c>
    </row>
    <row r="432" spans="2:3">
      <c r="B432" s="4" t="s">
        <v>952</v>
      </c>
      <c r="C432" s="4" t="s">
        <v>1951</v>
      </c>
    </row>
    <row r="433" spans="2:3">
      <c r="B433" s="4" t="s">
        <v>953</v>
      </c>
      <c r="C433" s="4" t="s">
        <v>1952</v>
      </c>
    </row>
    <row r="434" spans="2:3">
      <c r="B434" s="4" t="s">
        <v>954</v>
      </c>
      <c r="C434" s="4" t="s">
        <v>1953</v>
      </c>
    </row>
    <row r="435" spans="2:3">
      <c r="B435" s="4" t="s">
        <v>955</v>
      </c>
      <c r="C435" s="4" t="s">
        <v>1954</v>
      </c>
    </row>
    <row r="436" spans="2:3">
      <c r="B436" s="4" t="s">
        <v>956</v>
      </c>
      <c r="C436" s="4" t="s">
        <v>1955</v>
      </c>
    </row>
    <row r="437" spans="2:3">
      <c r="B437" s="4" t="s">
        <v>957</v>
      </c>
      <c r="C437" s="4" t="s">
        <v>1956</v>
      </c>
    </row>
    <row r="438" spans="2:3">
      <c r="B438" s="4" t="s">
        <v>958</v>
      </c>
      <c r="C438" s="4" t="s">
        <v>1957</v>
      </c>
    </row>
    <row r="439" spans="2:3">
      <c r="B439" s="4" t="s">
        <v>959</v>
      </c>
      <c r="C439" s="4" t="s">
        <v>1958</v>
      </c>
    </row>
    <row r="440" spans="2:3">
      <c r="B440" s="4" t="s">
        <v>1959</v>
      </c>
      <c r="C440" s="4" t="s">
        <v>1960</v>
      </c>
    </row>
    <row r="441" spans="2:3">
      <c r="B441" s="4" t="s">
        <v>1040</v>
      </c>
      <c r="C441" s="4" t="s">
        <v>1961</v>
      </c>
    </row>
    <row r="442" spans="2:3">
      <c r="B442" s="4" t="s">
        <v>1962</v>
      </c>
      <c r="C442" s="4" t="s">
        <v>1963</v>
      </c>
    </row>
    <row r="443" spans="2:3">
      <c r="B443" s="4" t="s">
        <v>1041</v>
      </c>
      <c r="C443" s="4" t="s">
        <v>1964</v>
      </c>
    </row>
    <row r="444" spans="2:3">
      <c r="B444" s="4" t="s">
        <v>1242</v>
      </c>
      <c r="C444" s="4" t="s">
        <v>1965</v>
      </c>
    </row>
    <row r="445" spans="2:3">
      <c r="B445" s="4" t="s">
        <v>1243</v>
      </c>
      <c r="C445" s="4" t="s">
        <v>1966</v>
      </c>
    </row>
    <row r="446" spans="2:3">
      <c r="B446" s="4" t="s">
        <v>1244</v>
      </c>
      <c r="C446" s="4" t="s">
        <v>1967</v>
      </c>
    </row>
    <row r="447" spans="2:3">
      <c r="B447" s="4" t="s">
        <v>1245</v>
      </c>
      <c r="C447" s="4" t="s">
        <v>1968</v>
      </c>
    </row>
    <row r="448" spans="2:3">
      <c r="B448" s="4" t="s">
        <v>1246</v>
      </c>
      <c r="C448" s="4" t="s">
        <v>1969</v>
      </c>
    </row>
    <row r="449" spans="2:3">
      <c r="B449" s="4" t="s">
        <v>1247</v>
      </c>
      <c r="C449" s="4" t="s">
        <v>1970</v>
      </c>
    </row>
    <row r="450" spans="2:3">
      <c r="B450" s="4" t="s">
        <v>1248</v>
      </c>
      <c r="C450" s="4" t="s">
        <v>1971</v>
      </c>
    </row>
    <row r="451" spans="2:3">
      <c r="B451" s="4" t="s">
        <v>1249</v>
      </c>
      <c r="C451" s="4" t="s">
        <v>1972</v>
      </c>
    </row>
    <row r="452" spans="2:3">
      <c r="B452" s="4" t="s">
        <v>1250</v>
      </c>
      <c r="C452" s="4" t="s">
        <v>1973</v>
      </c>
    </row>
    <row r="453" spans="2:3">
      <c r="B453" s="4" t="s">
        <v>1251</v>
      </c>
      <c r="C453" s="4" t="s">
        <v>1974</v>
      </c>
    </row>
    <row r="454" spans="2:3">
      <c r="B454" s="4" t="s">
        <v>1252</v>
      </c>
      <c r="C454" s="4" t="s">
        <v>1975</v>
      </c>
    </row>
    <row r="455" spans="2:3">
      <c r="B455" s="4" t="s">
        <v>1253</v>
      </c>
      <c r="C455" s="4" t="s">
        <v>1976</v>
      </c>
    </row>
    <row r="456" spans="2:3">
      <c r="B456" s="4" t="s">
        <v>1254</v>
      </c>
      <c r="C456" s="4" t="s">
        <v>1977</v>
      </c>
    </row>
    <row r="457" spans="2:3">
      <c r="B457" s="4" t="s">
        <v>1255</v>
      </c>
      <c r="C457" s="4" t="s">
        <v>1978</v>
      </c>
    </row>
    <row r="458" spans="2:3">
      <c r="B458" s="4" t="s">
        <v>1256</v>
      </c>
      <c r="C458" s="4" t="s">
        <v>1979</v>
      </c>
    </row>
    <row r="459" spans="2:3">
      <c r="B459" s="4" t="s">
        <v>1257</v>
      </c>
      <c r="C459" s="4" t="s">
        <v>1980</v>
      </c>
    </row>
    <row r="460" spans="2:3">
      <c r="B460" s="4" t="s">
        <v>1258</v>
      </c>
      <c r="C460" s="4" t="s">
        <v>1981</v>
      </c>
    </row>
    <row r="461" spans="2:3">
      <c r="B461" s="4" t="s">
        <v>1259</v>
      </c>
      <c r="C461" s="4" t="s">
        <v>1982</v>
      </c>
    </row>
    <row r="462" spans="2:3">
      <c r="B462" s="4" t="s">
        <v>1260</v>
      </c>
      <c r="C462" s="4" t="s">
        <v>1983</v>
      </c>
    </row>
    <row r="463" spans="2:3">
      <c r="B463" s="4" t="s">
        <v>1261</v>
      </c>
      <c r="C463" s="4" t="s">
        <v>1984</v>
      </c>
    </row>
    <row r="464" spans="2:3">
      <c r="B464" s="4" t="s">
        <v>1262</v>
      </c>
      <c r="C464" s="4" t="s">
        <v>1985</v>
      </c>
    </row>
    <row r="465" spans="2:3">
      <c r="B465" s="4" t="s">
        <v>1263</v>
      </c>
      <c r="C465" s="4" t="s">
        <v>1986</v>
      </c>
    </row>
    <row r="466" spans="2:3">
      <c r="B466" s="4" t="s">
        <v>1264</v>
      </c>
      <c r="C466" s="4" t="s">
        <v>1987</v>
      </c>
    </row>
    <row r="467" spans="2:3">
      <c r="B467" s="4" t="s">
        <v>1265</v>
      </c>
      <c r="C467" s="4" t="s">
        <v>1988</v>
      </c>
    </row>
    <row r="468" spans="2:3">
      <c r="B468" s="4" t="s">
        <v>1266</v>
      </c>
      <c r="C468" s="4" t="s">
        <v>1989</v>
      </c>
    </row>
    <row r="469" spans="2:3">
      <c r="B469" s="4" t="s">
        <v>1267</v>
      </c>
      <c r="C469" s="4" t="s">
        <v>1990</v>
      </c>
    </row>
    <row r="470" spans="2:3">
      <c r="B470" s="4" t="s">
        <v>1268</v>
      </c>
      <c r="C470" s="4" t="s">
        <v>1991</v>
      </c>
    </row>
    <row r="471" spans="2:3">
      <c r="B471" s="4" t="s">
        <v>1269</v>
      </c>
      <c r="C471" s="4" t="s">
        <v>1992</v>
      </c>
    </row>
    <row r="472" spans="2:3">
      <c r="B472" s="4" t="s">
        <v>1270</v>
      </c>
      <c r="C472" s="4" t="s">
        <v>1993</v>
      </c>
    </row>
    <row r="473" spans="2:3">
      <c r="B473" s="4" t="s">
        <v>1271</v>
      </c>
      <c r="C473" s="4" t="s">
        <v>1994</v>
      </c>
    </row>
    <row r="474" spans="2:3">
      <c r="B474" s="4" t="s">
        <v>1272</v>
      </c>
      <c r="C474" s="4" t="s">
        <v>1995</v>
      </c>
    </row>
    <row r="475" spans="2:3">
      <c r="B475" s="4" t="s">
        <v>1273</v>
      </c>
      <c r="C475" s="4" t="s">
        <v>1996</v>
      </c>
    </row>
    <row r="476" spans="2:3">
      <c r="B476" s="4" t="s">
        <v>1997</v>
      </c>
      <c r="C476" s="4" t="s">
        <v>1998</v>
      </c>
    </row>
    <row r="477" spans="2:3">
      <c r="B477" s="4" t="s">
        <v>1999</v>
      </c>
      <c r="C477" s="4" t="s">
        <v>2000</v>
      </c>
    </row>
    <row r="478" spans="2:3">
      <c r="B478" s="4" t="s">
        <v>2001</v>
      </c>
      <c r="C478" s="4" t="s">
        <v>2002</v>
      </c>
    </row>
    <row r="479" spans="2:3">
      <c r="B479" s="4" t="s">
        <v>2003</v>
      </c>
      <c r="C479" s="4" t="s">
        <v>2004</v>
      </c>
    </row>
    <row r="480" spans="2:3">
      <c r="B480" s="4" t="s">
        <v>2005</v>
      </c>
      <c r="C480" s="4" t="s">
        <v>2006</v>
      </c>
    </row>
    <row r="481" spans="2:3">
      <c r="B481" s="4" t="s">
        <v>2007</v>
      </c>
      <c r="C481" s="4" t="s">
        <v>2008</v>
      </c>
    </row>
    <row r="482" spans="2:3">
      <c r="B482" s="4" t="s">
        <v>2009</v>
      </c>
      <c r="C482" s="4" t="s">
        <v>2010</v>
      </c>
    </row>
    <row r="483" spans="2:3">
      <c r="B483" s="4" t="s">
        <v>2011</v>
      </c>
      <c r="C483" s="4" t="s">
        <v>2012</v>
      </c>
    </row>
    <row r="484" spans="2:3">
      <c r="B484" s="4" t="s">
        <v>1337</v>
      </c>
      <c r="C484" s="4" t="s">
        <v>2013</v>
      </c>
    </row>
    <row r="485" spans="2:3">
      <c r="B485" s="4" t="s">
        <v>1338</v>
      </c>
      <c r="C485" s="4" t="s">
        <v>2014</v>
      </c>
    </row>
    <row r="486" spans="2:3">
      <c r="B486" s="4" t="s">
        <v>1339</v>
      </c>
      <c r="C486" s="4" t="s">
        <v>2015</v>
      </c>
    </row>
    <row r="487" spans="2:3">
      <c r="B487" s="4" t="s">
        <v>1340</v>
      </c>
      <c r="C487" s="4" t="s">
        <v>2016</v>
      </c>
    </row>
    <row r="488" spans="2:3">
      <c r="B488" s="4" t="s">
        <v>1274</v>
      </c>
      <c r="C488" s="4" t="s">
        <v>2017</v>
      </c>
    </row>
    <row r="489" spans="2:3">
      <c r="B489" s="4" t="s">
        <v>1275</v>
      </c>
      <c r="C489" s="4" t="s">
        <v>2018</v>
      </c>
    </row>
    <row r="490" spans="2:3">
      <c r="B490" s="4" t="s">
        <v>2019</v>
      </c>
      <c r="C490" s="4" t="s">
        <v>2020</v>
      </c>
    </row>
    <row r="491" spans="2:3">
      <c r="B491" s="4" t="s">
        <v>2021</v>
      </c>
      <c r="C491" s="4" t="s">
        <v>2022</v>
      </c>
    </row>
    <row r="492" spans="2:3">
      <c r="B492" s="4" t="s">
        <v>62</v>
      </c>
      <c r="C492" s="4" t="s">
        <v>2023</v>
      </c>
    </row>
    <row r="493" spans="2:3">
      <c r="B493" s="4" t="s">
        <v>63</v>
      </c>
      <c r="C493" s="4" t="s">
        <v>2024</v>
      </c>
    </row>
    <row r="494" spans="2:3">
      <c r="B494" s="4" t="s">
        <v>64</v>
      </c>
      <c r="C494" s="4" t="s">
        <v>2025</v>
      </c>
    </row>
    <row r="495" spans="2:3">
      <c r="B495" s="4" t="s">
        <v>65</v>
      </c>
      <c r="C495" s="4" t="s">
        <v>2026</v>
      </c>
    </row>
    <row r="496" spans="2:3">
      <c r="B496" s="4" t="s">
        <v>66</v>
      </c>
      <c r="C496" s="4" t="s">
        <v>2027</v>
      </c>
    </row>
    <row r="497" spans="2:3">
      <c r="B497" s="4" t="s">
        <v>67</v>
      </c>
      <c r="C497" s="4" t="s">
        <v>2028</v>
      </c>
    </row>
    <row r="498" spans="2:3">
      <c r="B498" s="4" t="s">
        <v>68</v>
      </c>
      <c r="C498" s="4" t="s">
        <v>2029</v>
      </c>
    </row>
    <row r="499" spans="2:3">
      <c r="B499" s="4" t="s">
        <v>69</v>
      </c>
      <c r="C499" s="4" t="s">
        <v>2030</v>
      </c>
    </row>
    <row r="500" spans="2:3">
      <c r="B500" s="4" t="s">
        <v>70</v>
      </c>
      <c r="C500" s="4" t="s">
        <v>2031</v>
      </c>
    </row>
    <row r="501" spans="2:3">
      <c r="B501" s="4" t="s">
        <v>71</v>
      </c>
      <c r="C501" s="4" t="s">
        <v>2032</v>
      </c>
    </row>
    <row r="502" spans="2:3">
      <c r="B502" s="4" t="s">
        <v>72</v>
      </c>
      <c r="C502" s="4" t="s">
        <v>2033</v>
      </c>
    </row>
    <row r="503" spans="2:3">
      <c r="B503" s="4" t="s">
        <v>2034</v>
      </c>
      <c r="C503" s="4" t="s">
        <v>2035</v>
      </c>
    </row>
    <row r="504" spans="2:3">
      <c r="B504" s="4" t="s">
        <v>2036</v>
      </c>
      <c r="C504" s="4" t="s">
        <v>2037</v>
      </c>
    </row>
    <row r="505" spans="2:3">
      <c r="B505" s="4" t="s">
        <v>2038</v>
      </c>
      <c r="C505" s="4" t="s">
        <v>2039</v>
      </c>
    </row>
    <row r="506" spans="2:3">
      <c r="B506" s="4" t="s">
        <v>2040</v>
      </c>
      <c r="C506" s="4" t="s">
        <v>2041</v>
      </c>
    </row>
    <row r="507" spans="2:3">
      <c r="B507" s="4" t="s">
        <v>2042</v>
      </c>
      <c r="C507" s="4" t="s">
        <v>2043</v>
      </c>
    </row>
    <row r="508" spans="2:3">
      <c r="B508" s="4" t="s">
        <v>2044</v>
      </c>
      <c r="C508" s="4" t="s">
        <v>2045</v>
      </c>
    </row>
    <row r="509" spans="2:3">
      <c r="B509" s="4" t="s">
        <v>2046</v>
      </c>
      <c r="C509" s="4" t="s">
        <v>2047</v>
      </c>
    </row>
    <row r="510" spans="2:3">
      <c r="B510" s="4" t="s">
        <v>2048</v>
      </c>
      <c r="C510" s="4" t="s">
        <v>2049</v>
      </c>
    </row>
    <row r="511" spans="2:3">
      <c r="B511" s="4" t="s">
        <v>2050</v>
      </c>
      <c r="C511" s="4" t="s">
        <v>2051</v>
      </c>
    </row>
    <row r="512" spans="2:3">
      <c r="B512" s="4" t="s">
        <v>2052</v>
      </c>
      <c r="C512" s="4" t="s">
        <v>2053</v>
      </c>
    </row>
    <row r="513" spans="2:3">
      <c r="B513" s="4" t="s">
        <v>2054</v>
      </c>
      <c r="C513" s="4" t="s">
        <v>2055</v>
      </c>
    </row>
    <row r="514" spans="2:3">
      <c r="B514" s="4" t="s">
        <v>2056</v>
      </c>
      <c r="C514" s="4" t="s">
        <v>2057</v>
      </c>
    </row>
    <row r="515" spans="2:3">
      <c r="B515" s="4" t="s">
        <v>2058</v>
      </c>
      <c r="C515" s="4" t="s">
        <v>2059</v>
      </c>
    </row>
    <row r="516" spans="2:3">
      <c r="B516" s="4" t="s">
        <v>2060</v>
      </c>
      <c r="C516" s="4" t="s">
        <v>2061</v>
      </c>
    </row>
    <row r="517" spans="2:3">
      <c r="B517" s="4" t="s">
        <v>2062</v>
      </c>
      <c r="C517" s="4" t="s">
        <v>2063</v>
      </c>
    </row>
    <row r="518" spans="2:3">
      <c r="B518" s="4" t="s">
        <v>2064</v>
      </c>
      <c r="C518" s="4" t="s">
        <v>2065</v>
      </c>
    </row>
    <row r="519" spans="2:3">
      <c r="B519" s="4" t="s">
        <v>802</v>
      </c>
      <c r="C519" s="4" t="s">
        <v>2066</v>
      </c>
    </row>
    <row r="520" spans="2:3">
      <c r="B520" s="4" t="s">
        <v>883</v>
      </c>
      <c r="C520" s="4" t="s">
        <v>2067</v>
      </c>
    </row>
    <row r="521" spans="2:3">
      <c r="B521" s="4" t="s">
        <v>884</v>
      </c>
      <c r="C521" s="4" t="s">
        <v>2068</v>
      </c>
    </row>
    <row r="522" spans="2:3">
      <c r="B522" s="4" t="s">
        <v>885</v>
      </c>
      <c r="C522" s="4" t="s">
        <v>2069</v>
      </c>
    </row>
    <row r="523" spans="2:3">
      <c r="B523" s="4" t="s">
        <v>887</v>
      </c>
      <c r="C523" s="4" t="s">
        <v>888</v>
      </c>
    </row>
    <row r="524" spans="2:3">
      <c r="B524" s="4" t="s">
        <v>889</v>
      </c>
      <c r="C524" s="4" t="s">
        <v>890</v>
      </c>
    </row>
    <row r="525" spans="2:3">
      <c r="B525" s="4" t="s">
        <v>891</v>
      </c>
      <c r="C525" s="4" t="s">
        <v>892</v>
      </c>
    </row>
    <row r="526" spans="2:3">
      <c r="B526" s="4" t="s">
        <v>893</v>
      </c>
      <c r="C526" s="4" t="s">
        <v>894</v>
      </c>
    </row>
    <row r="527" spans="2:3">
      <c r="B527" s="4" t="s">
        <v>895</v>
      </c>
      <c r="C527" s="4" t="s">
        <v>896</v>
      </c>
    </row>
    <row r="528" spans="2:3">
      <c r="B528" s="4" t="s">
        <v>898</v>
      </c>
      <c r="C528" s="4" t="s">
        <v>2070</v>
      </c>
    </row>
    <row r="529" spans="2:3">
      <c r="B529" s="4" t="s">
        <v>899</v>
      </c>
      <c r="C529" s="4" t="s">
        <v>2071</v>
      </c>
    </row>
    <row r="530" spans="2:3">
      <c r="B530" s="4" t="s">
        <v>900</v>
      </c>
      <c r="C530" s="4" t="s">
        <v>2072</v>
      </c>
    </row>
    <row r="531" spans="2:3">
      <c r="B531" s="4" t="s">
        <v>2073</v>
      </c>
      <c r="C531" s="4" t="s">
        <v>2074</v>
      </c>
    </row>
    <row r="532" spans="2:3">
      <c r="B532" s="4" t="s">
        <v>1011</v>
      </c>
      <c r="C532" s="4" t="s">
        <v>2075</v>
      </c>
    </row>
    <row r="533" spans="2:3">
      <c r="B533" s="4" t="s">
        <v>1012</v>
      </c>
      <c r="C533" s="4" t="s">
        <v>2076</v>
      </c>
    </row>
    <row r="534" spans="2:3">
      <c r="B534" s="4" t="s">
        <v>1013</v>
      </c>
      <c r="C534" s="4" t="s">
        <v>2077</v>
      </c>
    </row>
    <row r="535" spans="2:3">
      <c r="B535" s="4" t="s">
        <v>1014</v>
      </c>
      <c r="C535" s="4" t="s">
        <v>2078</v>
      </c>
    </row>
    <row r="536" spans="2:3">
      <c r="B536" s="4" t="s">
        <v>1015</v>
      </c>
      <c r="C536" s="4" t="s">
        <v>2079</v>
      </c>
    </row>
    <row r="537" spans="2:3">
      <c r="B537" s="4" t="s">
        <v>1016</v>
      </c>
      <c r="C537" s="4" t="s">
        <v>2080</v>
      </c>
    </row>
    <row r="538" spans="2:3">
      <c r="B538" s="4" t="s">
        <v>1017</v>
      </c>
      <c r="C538" s="4" t="s">
        <v>2081</v>
      </c>
    </row>
    <row r="539" spans="2:3">
      <c r="B539" s="4" t="s">
        <v>1018</v>
      </c>
      <c r="C539" s="4" t="s">
        <v>2082</v>
      </c>
    </row>
    <row r="540" spans="2:3">
      <c r="B540" s="4" t="s">
        <v>2083</v>
      </c>
      <c r="C540" s="4" t="s">
        <v>2084</v>
      </c>
    </row>
    <row r="541" spans="2:3">
      <c r="B541" s="4" t="s">
        <v>73</v>
      </c>
      <c r="C541" s="4" t="s">
        <v>2085</v>
      </c>
    </row>
    <row r="542" spans="2:3">
      <c r="B542" s="4" t="s">
        <v>74</v>
      </c>
      <c r="C542" s="4" t="s">
        <v>2086</v>
      </c>
    </row>
    <row r="543" spans="2:3">
      <c r="B543" s="4" t="s">
        <v>75</v>
      </c>
      <c r="C543" s="4" t="s">
        <v>2087</v>
      </c>
    </row>
    <row r="544" spans="2:3">
      <c r="B544" s="4" t="s">
        <v>2088</v>
      </c>
      <c r="C544" s="4" t="s">
        <v>2089</v>
      </c>
    </row>
    <row r="545" spans="2:3">
      <c r="B545" s="4" t="s">
        <v>76</v>
      </c>
      <c r="C545" s="4" t="s">
        <v>2090</v>
      </c>
    </row>
    <row r="546" spans="2:3">
      <c r="B546" s="4" t="s">
        <v>77</v>
      </c>
      <c r="C546" s="4" t="s">
        <v>2091</v>
      </c>
    </row>
    <row r="547" spans="2:3">
      <c r="B547" s="4" t="s">
        <v>2092</v>
      </c>
      <c r="C547" s="4" t="s">
        <v>2093</v>
      </c>
    </row>
    <row r="548" spans="2:3">
      <c r="B548" s="4" t="s">
        <v>2094</v>
      </c>
      <c r="C548" s="4" t="s">
        <v>2095</v>
      </c>
    </row>
    <row r="549" spans="2:3">
      <c r="B549" s="4" t="s">
        <v>2096</v>
      </c>
      <c r="C549" s="4" t="s">
        <v>2097</v>
      </c>
    </row>
    <row r="550" spans="2:3">
      <c r="B550" s="4" t="s">
        <v>2098</v>
      </c>
      <c r="C550" s="4" t="s">
        <v>2099</v>
      </c>
    </row>
    <row r="551" spans="2:3">
      <c r="B551" s="4" t="s">
        <v>79</v>
      </c>
      <c r="C551" s="4" t="s">
        <v>2100</v>
      </c>
    </row>
    <row r="552" spans="2:3">
      <c r="B552" s="4" t="s">
        <v>2101</v>
      </c>
      <c r="C552" s="4" t="s">
        <v>2102</v>
      </c>
    </row>
    <row r="553" spans="2:3">
      <c r="B553" s="4" t="s">
        <v>80</v>
      </c>
      <c r="C553" s="4" t="s">
        <v>2103</v>
      </c>
    </row>
    <row r="554" spans="2:3">
      <c r="B554" s="4" t="s">
        <v>81</v>
      </c>
      <c r="C554" s="4" t="s">
        <v>2104</v>
      </c>
    </row>
    <row r="555" spans="2:3">
      <c r="B555" s="4" t="s">
        <v>82</v>
      </c>
      <c r="C555" s="4" t="s">
        <v>2105</v>
      </c>
    </row>
    <row r="556" spans="2:3">
      <c r="B556" s="4" t="s">
        <v>83</v>
      </c>
      <c r="C556" s="4" t="s">
        <v>2106</v>
      </c>
    </row>
    <row r="557" spans="2:3">
      <c r="B557" s="4" t="s">
        <v>84</v>
      </c>
      <c r="C557" s="4" t="s">
        <v>2107</v>
      </c>
    </row>
    <row r="558" spans="2:3">
      <c r="B558" s="4" t="s">
        <v>257</v>
      </c>
      <c r="C558" s="4" t="s">
        <v>2108</v>
      </c>
    </row>
    <row r="559" spans="2:3">
      <c r="B559" s="4" t="s">
        <v>258</v>
      </c>
      <c r="C559" s="4" t="s">
        <v>2109</v>
      </c>
    </row>
    <row r="560" spans="2:3">
      <c r="B560" s="4" t="s">
        <v>259</v>
      </c>
      <c r="C560" s="4" t="s">
        <v>2110</v>
      </c>
    </row>
    <row r="561" spans="2:3">
      <c r="B561" s="4" t="s">
        <v>260</v>
      </c>
      <c r="C561" s="4" t="s">
        <v>2111</v>
      </c>
    </row>
    <row r="562" spans="2:3">
      <c r="B562" s="4" t="s">
        <v>261</v>
      </c>
      <c r="C562" s="4" t="s">
        <v>2112</v>
      </c>
    </row>
    <row r="563" spans="2:3">
      <c r="B563" s="4" t="s">
        <v>263</v>
      </c>
      <c r="C563" s="4" t="s">
        <v>2113</v>
      </c>
    </row>
    <row r="564" spans="2:3">
      <c r="B564" s="4" t="s">
        <v>264</v>
      </c>
      <c r="C564" s="4" t="s">
        <v>2114</v>
      </c>
    </row>
    <row r="565" spans="2:3">
      <c r="B565" s="4" t="s">
        <v>265</v>
      </c>
      <c r="C565" s="4" t="s">
        <v>2115</v>
      </c>
    </row>
    <row r="566" spans="2:3">
      <c r="B566" s="4" t="s">
        <v>266</v>
      </c>
      <c r="C566" s="4" t="s">
        <v>2116</v>
      </c>
    </row>
    <row r="567" spans="2:3">
      <c r="B567" s="4" t="s">
        <v>267</v>
      </c>
      <c r="C567" s="4" t="s">
        <v>2117</v>
      </c>
    </row>
    <row r="568" spans="2:3">
      <c r="B568" s="4" t="s">
        <v>268</v>
      </c>
      <c r="C568" s="4" t="s">
        <v>2118</v>
      </c>
    </row>
    <row r="569" spans="2:3">
      <c r="B569" s="4" t="s">
        <v>269</v>
      </c>
      <c r="C569" s="4" t="s">
        <v>2119</v>
      </c>
    </row>
    <row r="570" spans="2:3">
      <c r="B570" s="4" t="s">
        <v>270</v>
      </c>
      <c r="C570" s="4" t="s">
        <v>2120</v>
      </c>
    </row>
    <row r="571" spans="2:3">
      <c r="B571" s="4" t="s">
        <v>271</v>
      </c>
      <c r="C571" s="4" t="s">
        <v>2121</v>
      </c>
    </row>
    <row r="572" spans="2:3">
      <c r="B572" s="4" t="s">
        <v>272</v>
      </c>
      <c r="C572" s="4" t="s">
        <v>2122</v>
      </c>
    </row>
    <row r="573" spans="2:3">
      <c r="B573" s="4" t="s">
        <v>273</v>
      </c>
      <c r="C573" s="4" t="s">
        <v>2123</v>
      </c>
    </row>
    <row r="574" spans="2:3">
      <c r="B574" s="4" t="s">
        <v>274</v>
      </c>
      <c r="C574" s="4" t="s">
        <v>2124</v>
      </c>
    </row>
    <row r="575" spans="2:3">
      <c r="B575" s="4" t="s">
        <v>275</v>
      </c>
      <c r="C575" s="4" t="s">
        <v>2125</v>
      </c>
    </row>
    <row r="576" spans="2:3">
      <c r="B576" s="4" t="s">
        <v>276</v>
      </c>
      <c r="C576" s="4" t="s">
        <v>2126</v>
      </c>
    </row>
    <row r="577" spans="2:3">
      <c r="B577" s="4" t="s">
        <v>277</v>
      </c>
      <c r="C577" s="4" t="s">
        <v>2127</v>
      </c>
    </row>
    <row r="578" spans="2:3">
      <c r="B578" s="4" t="s">
        <v>279</v>
      </c>
      <c r="C578" s="4" t="s">
        <v>2128</v>
      </c>
    </row>
    <row r="579" spans="2:3">
      <c r="B579" s="4" t="s">
        <v>280</v>
      </c>
      <c r="C579" s="4" t="s">
        <v>2129</v>
      </c>
    </row>
    <row r="580" spans="2:3">
      <c r="B580" s="4" t="s">
        <v>281</v>
      </c>
      <c r="C580" s="4" t="s">
        <v>2130</v>
      </c>
    </row>
    <row r="581" spans="2:3">
      <c r="B581" s="4" t="s">
        <v>282</v>
      </c>
      <c r="C581" s="4" t="s">
        <v>2131</v>
      </c>
    </row>
    <row r="582" spans="2:3">
      <c r="B582" s="4" t="s">
        <v>283</v>
      </c>
      <c r="C582" s="4" t="s">
        <v>2132</v>
      </c>
    </row>
    <row r="583" spans="2:3">
      <c r="B583" s="4" t="s">
        <v>284</v>
      </c>
      <c r="C583" s="4" t="s">
        <v>2133</v>
      </c>
    </row>
    <row r="584" spans="2:3">
      <c r="B584" s="4" t="s">
        <v>285</v>
      </c>
      <c r="C584" s="4" t="s">
        <v>2134</v>
      </c>
    </row>
    <row r="585" spans="2:3">
      <c r="B585" s="4" t="s">
        <v>286</v>
      </c>
      <c r="C585" s="4" t="s">
        <v>2135</v>
      </c>
    </row>
    <row r="586" spans="2:3">
      <c r="B586" s="4" t="s">
        <v>287</v>
      </c>
      <c r="C586" s="4" t="s">
        <v>2136</v>
      </c>
    </row>
    <row r="587" spans="2:3">
      <c r="B587" s="4" t="s">
        <v>288</v>
      </c>
      <c r="C587" s="4" t="s">
        <v>2137</v>
      </c>
    </row>
    <row r="588" spans="2:3">
      <c r="B588" s="4" t="s">
        <v>289</v>
      </c>
      <c r="C588" s="4" t="s">
        <v>2138</v>
      </c>
    </row>
    <row r="589" spans="2:3">
      <c r="B589" s="4" t="s">
        <v>290</v>
      </c>
      <c r="C589" s="4" t="s">
        <v>2139</v>
      </c>
    </row>
    <row r="590" spans="2:3">
      <c r="B590" s="4" t="s">
        <v>204</v>
      </c>
      <c r="C590" s="4" t="s">
        <v>2140</v>
      </c>
    </row>
    <row r="591" spans="2:3">
      <c r="B591" s="4" t="s">
        <v>206</v>
      </c>
      <c r="C591" s="4" t="s">
        <v>2141</v>
      </c>
    </row>
    <row r="592" spans="2:3">
      <c r="B592" s="4" t="s">
        <v>207</v>
      </c>
      <c r="C592" s="4" t="s">
        <v>2142</v>
      </c>
    </row>
    <row r="593" spans="2:3">
      <c r="B593" s="4" t="s">
        <v>208</v>
      </c>
      <c r="C593" s="4" t="s">
        <v>2143</v>
      </c>
    </row>
    <row r="594" spans="2:3">
      <c r="B594" s="4" t="s">
        <v>209</v>
      </c>
      <c r="C594" s="4" t="s">
        <v>2144</v>
      </c>
    </row>
    <row r="595" spans="2:3">
      <c r="B595" s="4" t="s">
        <v>210</v>
      </c>
      <c r="C595" s="4" t="s">
        <v>2145</v>
      </c>
    </row>
    <row r="596" spans="2:3">
      <c r="B596" s="4" t="s">
        <v>211</v>
      </c>
      <c r="C596" s="4" t="s">
        <v>2146</v>
      </c>
    </row>
    <row r="597" spans="2:3">
      <c r="B597" s="4" t="s">
        <v>488</v>
      </c>
      <c r="C597" s="4" t="s">
        <v>2147</v>
      </c>
    </row>
    <row r="598" spans="2:3">
      <c r="B598" s="4" t="s">
        <v>489</v>
      </c>
      <c r="C598" s="4" t="s">
        <v>2148</v>
      </c>
    </row>
    <row r="599" spans="2:3">
      <c r="B599" s="4" t="s">
        <v>490</v>
      </c>
      <c r="C599" s="4" t="s">
        <v>2149</v>
      </c>
    </row>
    <row r="600" spans="2:3">
      <c r="B600" s="4" t="s">
        <v>491</v>
      </c>
      <c r="C600" s="4" t="s">
        <v>2150</v>
      </c>
    </row>
    <row r="601" spans="2:3">
      <c r="B601" s="4" t="s">
        <v>492</v>
      </c>
      <c r="C601" s="4" t="s">
        <v>2151</v>
      </c>
    </row>
    <row r="602" spans="2:3">
      <c r="B602" s="4" t="s">
        <v>493</v>
      </c>
      <c r="C602" s="4" t="s">
        <v>2152</v>
      </c>
    </row>
    <row r="603" spans="2:3">
      <c r="B603" s="4" t="s">
        <v>494</v>
      </c>
      <c r="C603" s="4" t="s">
        <v>2153</v>
      </c>
    </row>
    <row r="604" spans="2:3">
      <c r="B604" s="4" t="s">
        <v>496</v>
      </c>
      <c r="C604" s="4" t="s">
        <v>2154</v>
      </c>
    </row>
    <row r="605" spans="2:3">
      <c r="B605" s="4" t="s">
        <v>497</v>
      </c>
      <c r="C605" s="4" t="s">
        <v>2155</v>
      </c>
    </row>
    <row r="606" spans="2:3">
      <c r="B606" s="4" t="s">
        <v>498</v>
      </c>
      <c r="C606" s="4" t="s">
        <v>2156</v>
      </c>
    </row>
    <row r="607" spans="2:3">
      <c r="B607" s="4" t="s">
        <v>499</v>
      </c>
      <c r="C607" s="4" t="s">
        <v>2157</v>
      </c>
    </row>
    <row r="608" spans="2:3">
      <c r="B608" s="4" t="s">
        <v>500</v>
      </c>
      <c r="C608" s="4" t="s">
        <v>2158</v>
      </c>
    </row>
    <row r="609" spans="2:3">
      <c r="B609" s="4" t="s">
        <v>501</v>
      </c>
      <c r="C609" s="4" t="s">
        <v>2159</v>
      </c>
    </row>
    <row r="610" spans="2:3">
      <c r="B610" s="4" t="s">
        <v>502</v>
      </c>
      <c r="C610" s="4" t="s">
        <v>2160</v>
      </c>
    </row>
    <row r="611" spans="2:3">
      <c r="B611" s="4" t="s">
        <v>503</v>
      </c>
      <c r="C611" s="4" t="s">
        <v>2161</v>
      </c>
    </row>
    <row r="612" spans="2:3">
      <c r="B612" s="4" t="s">
        <v>504</v>
      </c>
      <c r="C612" s="4" t="s">
        <v>2162</v>
      </c>
    </row>
    <row r="613" spans="2:3">
      <c r="B613" s="4" t="s">
        <v>505</v>
      </c>
      <c r="C613" s="4" t="s">
        <v>2163</v>
      </c>
    </row>
    <row r="614" spans="2:3">
      <c r="B614" s="4" t="s">
        <v>506</v>
      </c>
      <c r="C614" s="4" t="s">
        <v>2164</v>
      </c>
    </row>
    <row r="615" spans="2:3">
      <c r="B615" s="4" t="s">
        <v>507</v>
      </c>
      <c r="C615" s="4" t="s">
        <v>2165</v>
      </c>
    </row>
    <row r="616" spans="2:3">
      <c r="B616" s="4" t="s">
        <v>508</v>
      </c>
      <c r="C616" s="4" t="s">
        <v>2166</v>
      </c>
    </row>
    <row r="617" spans="2:3">
      <c r="B617" s="4" t="s">
        <v>510</v>
      </c>
      <c r="C617" s="4" t="s">
        <v>2167</v>
      </c>
    </row>
    <row r="618" spans="2:3">
      <c r="B618" s="4" t="s">
        <v>511</v>
      </c>
      <c r="C618" s="4" t="s">
        <v>2168</v>
      </c>
    </row>
    <row r="619" spans="2:3">
      <c r="B619" s="4" t="s">
        <v>512</v>
      </c>
      <c r="C619" s="4" t="s">
        <v>2169</v>
      </c>
    </row>
    <row r="620" spans="2:3">
      <c r="B620" s="4" t="s">
        <v>2170</v>
      </c>
      <c r="C620" s="4" t="s">
        <v>2171</v>
      </c>
    </row>
    <row r="621" spans="2:3">
      <c r="B621" s="4" t="s">
        <v>2172</v>
      </c>
      <c r="C621" s="4" t="s">
        <v>2173</v>
      </c>
    </row>
    <row r="622" spans="2:3">
      <c r="B622" s="4" t="s">
        <v>513</v>
      </c>
      <c r="C622" s="4" t="s">
        <v>2174</v>
      </c>
    </row>
    <row r="623" spans="2:3">
      <c r="B623" s="4" t="s">
        <v>2175</v>
      </c>
      <c r="C623" s="4" t="s">
        <v>2176</v>
      </c>
    </row>
    <row r="624" spans="2:3">
      <c r="B624" s="4" t="s">
        <v>514</v>
      </c>
      <c r="C624" s="4" t="s">
        <v>2177</v>
      </c>
    </row>
    <row r="625" spans="2:3">
      <c r="B625" s="4" t="s">
        <v>2178</v>
      </c>
      <c r="C625" s="4" t="s">
        <v>2179</v>
      </c>
    </row>
    <row r="626" spans="2:3">
      <c r="B626" s="4" t="s">
        <v>2180</v>
      </c>
      <c r="C626" s="4" t="s">
        <v>2181</v>
      </c>
    </row>
    <row r="627" spans="2:3">
      <c r="B627" s="4" t="s">
        <v>516</v>
      </c>
      <c r="C627" s="4" t="s">
        <v>2182</v>
      </c>
    </row>
    <row r="628" spans="2:3">
      <c r="B628" s="4" t="s">
        <v>2183</v>
      </c>
      <c r="C628" s="4" t="s">
        <v>2184</v>
      </c>
    </row>
    <row r="629" spans="2:3">
      <c r="B629" s="4" t="s">
        <v>517</v>
      </c>
      <c r="C629" s="4" t="s">
        <v>2185</v>
      </c>
    </row>
    <row r="630" spans="2:3">
      <c r="B630" s="4" t="s">
        <v>518</v>
      </c>
      <c r="C630" s="4" t="s">
        <v>2186</v>
      </c>
    </row>
    <row r="631" spans="2:3">
      <c r="B631" s="4" t="s">
        <v>519</v>
      </c>
      <c r="C631" s="4" t="s">
        <v>2187</v>
      </c>
    </row>
    <row r="632" spans="2:3">
      <c r="B632" s="4" t="s">
        <v>2188</v>
      </c>
      <c r="C632" s="4" t="s">
        <v>2189</v>
      </c>
    </row>
    <row r="633" spans="2:3">
      <c r="B633" s="4" t="s">
        <v>520</v>
      </c>
      <c r="C633" s="4" t="s">
        <v>2190</v>
      </c>
    </row>
    <row r="634" spans="2:3">
      <c r="B634" s="4" t="s">
        <v>557</v>
      </c>
      <c r="C634" s="4" t="s">
        <v>2191</v>
      </c>
    </row>
    <row r="635" spans="2:3">
      <c r="B635" s="4" t="s">
        <v>558</v>
      </c>
      <c r="C635" s="4" t="s">
        <v>2192</v>
      </c>
    </row>
    <row r="636" spans="2:3">
      <c r="B636" s="4" t="s">
        <v>2193</v>
      </c>
      <c r="C636" s="4" t="s">
        <v>2194</v>
      </c>
    </row>
    <row r="637" spans="2:3">
      <c r="B637" s="4" t="s">
        <v>559</v>
      </c>
      <c r="C637" s="4" t="s">
        <v>2195</v>
      </c>
    </row>
    <row r="638" spans="2:3">
      <c r="B638" s="4" t="s">
        <v>560</v>
      </c>
      <c r="C638" s="4" t="s">
        <v>2196</v>
      </c>
    </row>
    <row r="639" spans="2:3">
      <c r="B639" s="4" t="s">
        <v>2197</v>
      </c>
      <c r="C639" s="4" t="s">
        <v>2198</v>
      </c>
    </row>
    <row r="640" spans="2:3">
      <c r="B640" s="4" t="s">
        <v>561</v>
      </c>
      <c r="C640" s="4" t="s">
        <v>2199</v>
      </c>
    </row>
    <row r="641" spans="2:3">
      <c r="B641" s="4" t="s">
        <v>562</v>
      </c>
      <c r="C641" s="4" t="s">
        <v>2200</v>
      </c>
    </row>
    <row r="642" spans="2:3">
      <c r="B642" s="4" t="s">
        <v>563</v>
      </c>
      <c r="C642" s="4" t="s">
        <v>2201</v>
      </c>
    </row>
    <row r="643" spans="2:3">
      <c r="B643" s="4" t="s">
        <v>321</v>
      </c>
      <c r="C643" s="4" t="s">
        <v>2202</v>
      </c>
    </row>
    <row r="644" spans="2:3">
      <c r="B644" s="4" t="s">
        <v>322</v>
      </c>
      <c r="C644" s="4" t="s">
        <v>2203</v>
      </c>
    </row>
    <row r="645" spans="2:3">
      <c r="B645" s="4" t="s">
        <v>324</v>
      </c>
      <c r="C645" s="4" t="s">
        <v>2204</v>
      </c>
    </row>
    <row r="646" spans="2:3">
      <c r="B646" s="4" t="s">
        <v>325</v>
      </c>
      <c r="C646" s="4" t="s">
        <v>2205</v>
      </c>
    </row>
    <row r="647" spans="2:3">
      <c r="B647" s="4" t="s">
        <v>326</v>
      </c>
      <c r="C647" s="4" t="s">
        <v>2206</v>
      </c>
    </row>
    <row r="648" spans="2:3">
      <c r="B648" s="4" t="s">
        <v>48</v>
      </c>
      <c r="C648" s="4" t="s">
        <v>2207</v>
      </c>
    </row>
    <row r="649" spans="2:3">
      <c r="B649" s="4" t="s">
        <v>2208</v>
      </c>
      <c r="C649" s="4" t="s">
        <v>2209</v>
      </c>
    </row>
    <row r="650" spans="2:3">
      <c r="B650" s="4" t="s">
        <v>49</v>
      </c>
      <c r="C650" s="4" t="s">
        <v>2210</v>
      </c>
    </row>
    <row r="651" spans="2:3">
      <c r="B651" s="4" t="s">
        <v>50</v>
      </c>
      <c r="C651" s="4" t="s">
        <v>2211</v>
      </c>
    </row>
    <row r="652" spans="2:3">
      <c r="B652" s="4" t="s">
        <v>2212</v>
      </c>
      <c r="C652" s="4" t="s">
        <v>2213</v>
      </c>
    </row>
    <row r="653" spans="2:3">
      <c r="B653" s="4" t="s">
        <v>2214</v>
      </c>
      <c r="C653" s="4" t="s">
        <v>2215</v>
      </c>
    </row>
    <row r="654" spans="2:3">
      <c r="B654" s="4" t="s">
        <v>51</v>
      </c>
      <c r="C654" s="4" t="s">
        <v>2216</v>
      </c>
    </row>
    <row r="655" spans="2:3">
      <c r="B655" s="4" t="s">
        <v>52</v>
      </c>
      <c r="C655" s="4" t="s">
        <v>2217</v>
      </c>
    </row>
    <row r="656" spans="2:3">
      <c r="B656" s="4" t="s">
        <v>53</v>
      </c>
      <c r="C656" s="4" t="s">
        <v>2218</v>
      </c>
    </row>
    <row r="657" spans="2:3">
      <c r="B657" s="4" t="s">
        <v>2219</v>
      </c>
      <c r="C657" s="4" t="s">
        <v>2220</v>
      </c>
    </row>
    <row r="658" spans="2:3">
      <c r="B658" s="4" t="s">
        <v>55</v>
      </c>
      <c r="C658" s="4" t="s">
        <v>2221</v>
      </c>
    </row>
    <row r="659" spans="2:3">
      <c r="B659" s="4" t="s">
        <v>56</v>
      </c>
      <c r="C659" s="4" t="s">
        <v>2222</v>
      </c>
    </row>
    <row r="660" spans="2:3">
      <c r="B660" s="4" t="s">
        <v>57</v>
      </c>
      <c r="C660" s="4" t="s">
        <v>2223</v>
      </c>
    </row>
    <row r="661" spans="2:3">
      <c r="B661" s="4" t="s">
        <v>58</v>
      </c>
      <c r="C661" s="4" t="s">
        <v>2224</v>
      </c>
    </row>
    <row r="662" spans="2:3">
      <c r="B662" s="4" t="s">
        <v>59</v>
      </c>
      <c r="C662" s="4" t="s">
        <v>2225</v>
      </c>
    </row>
    <row r="663" spans="2:3">
      <c r="B663" s="4" t="s">
        <v>60</v>
      </c>
      <c r="C663" s="4" t="s">
        <v>2226</v>
      </c>
    </row>
    <row r="664" spans="2:3">
      <c r="B664" s="4" t="s">
        <v>666</v>
      </c>
      <c r="C664" s="4" t="s">
        <v>2227</v>
      </c>
    </row>
    <row r="665" spans="2:3">
      <c r="B665" s="4" t="s">
        <v>667</v>
      </c>
      <c r="C665" s="4" t="s">
        <v>2228</v>
      </c>
    </row>
    <row r="666" spans="2:3">
      <c r="B666" s="4" t="s">
        <v>668</v>
      </c>
      <c r="C666" s="4" t="s">
        <v>2229</v>
      </c>
    </row>
    <row r="667" spans="2:3">
      <c r="B667" s="4" t="s">
        <v>670</v>
      </c>
      <c r="C667" s="4" t="s">
        <v>2230</v>
      </c>
    </row>
    <row r="668" spans="2:3">
      <c r="B668" s="4" t="s">
        <v>671</v>
      </c>
      <c r="C668" s="4" t="s">
        <v>2231</v>
      </c>
    </row>
    <row r="669" spans="2:3">
      <c r="B669" s="4" t="s">
        <v>672</v>
      </c>
      <c r="C669" s="4" t="s">
        <v>2232</v>
      </c>
    </row>
    <row r="670" spans="2:3">
      <c r="B670" s="4" t="s">
        <v>673</v>
      </c>
      <c r="C670" s="4" t="s">
        <v>2233</v>
      </c>
    </row>
    <row r="671" spans="2:3">
      <c r="B671" s="4" t="s">
        <v>674</v>
      </c>
      <c r="C671" s="4" t="s">
        <v>2234</v>
      </c>
    </row>
    <row r="672" spans="2:3">
      <c r="B672" s="4" t="s">
        <v>675</v>
      </c>
      <c r="C672" s="4" t="s">
        <v>2235</v>
      </c>
    </row>
    <row r="673" spans="2:3">
      <c r="B673" s="4" t="s">
        <v>676</v>
      </c>
      <c r="C673" s="4" t="s">
        <v>2236</v>
      </c>
    </row>
    <row r="674" spans="2:3">
      <c r="B674" s="4" t="s">
        <v>677</v>
      </c>
      <c r="C674" s="4" t="s">
        <v>2237</v>
      </c>
    </row>
    <row r="675" spans="2:3">
      <c r="B675" s="4" t="s">
        <v>678</v>
      </c>
      <c r="C675" s="4" t="s">
        <v>2238</v>
      </c>
    </row>
    <row r="676" spans="2:3">
      <c r="B676" s="4" t="s">
        <v>679</v>
      </c>
      <c r="C676" s="4" t="s">
        <v>2239</v>
      </c>
    </row>
    <row r="677" spans="2:3">
      <c r="B677" s="4" t="s">
        <v>680</v>
      </c>
      <c r="C677" s="4" t="s">
        <v>2240</v>
      </c>
    </row>
    <row r="678" spans="2:3">
      <c r="B678" s="4" t="s">
        <v>248</v>
      </c>
      <c r="C678" s="4" t="s">
        <v>2241</v>
      </c>
    </row>
    <row r="679" spans="2:3">
      <c r="B679" s="4" t="s">
        <v>150</v>
      </c>
      <c r="C679" s="4" t="s">
        <v>2242</v>
      </c>
    </row>
    <row r="680" spans="2:3">
      <c r="B680" s="4" t="s">
        <v>151</v>
      </c>
      <c r="C680" s="4" t="s">
        <v>2243</v>
      </c>
    </row>
    <row r="681" spans="2:3">
      <c r="B681" s="4" t="s">
        <v>153</v>
      </c>
      <c r="C681" s="4" t="s">
        <v>2244</v>
      </c>
    </row>
    <row r="682" spans="2:3">
      <c r="B682" s="4" t="s">
        <v>154</v>
      </c>
      <c r="C682" s="4" t="s">
        <v>2245</v>
      </c>
    </row>
    <row r="683" spans="2:3">
      <c r="B683" s="4" t="s">
        <v>155</v>
      </c>
      <c r="C683" s="4" t="s">
        <v>2246</v>
      </c>
    </row>
    <row r="684" spans="2:3">
      <c r="B684" s="4" t="s">
        <v>2247</v>
      </c>
      <c r="C684" s="4" t="s">
        <v>2248</v>
      </c>
    </row>
    <row r="685" spans="2:3">
      <c r="B685" s="4" t="s">
        <v>156</v>
      </c>
      <c r="C685" s="4" t="s">
        <v>2249</v>
      </c>
    </row>
    <row r="686" spans="2:3">
      <c r="B686" s="4" t="s">
        <v>157</v>
      </c>
      <c r="C686" s="4" t="s">
        <v>2250</v>
      </c>
    </row>
    <row r="687" spans="2:3">
      <c r="B687" s="4" t="s">
        <v>158</v>
      </c>
      <c r="C687" s="4" t="s">
        <v>2251</v>
      </c>
    </row>
    <row r="688" spans="2:3">
      <c r="B688" s="4" t="s">
        <v>159</v>
      </c>
      <c r="C688" s="4" t="s">
        <v>2252</v>
      </c>
    </row>
    <row r="689" spans="2:3">
      <c r="B689" s="4" t="s">
        <v>160</v>
      </c>
      <c r="C689" s="4" t="s">
        <v>2253</v>
      </c>
    </row>
    <row r="690" spans="2:3">
      <c r="B690" s="4" t="s">
        <v>161</v>
      </c>
      <c r="C690" s="4" t="s">
        <v>2254</v>
      </c>
    </row>
    <row r="691" spans="2:3">
      <c r="B691" s="4" t="s">
        <v>163</v>
      </c>
      <c r="C691" s="4" t="s">
        <v>2255</v>
      </c>
    </row>
    <row r="692" spans="2:3">
      <c r="B692" s="4" t="s">
        <v>164</v>
      </c>
      <c r="C692" s="4" t="s">
        <v>2256</v>
      </c>
    </row>
    <row r="693" spans="2:3">
      <c r="B693" s="4" t="s">
        <v>165</v>
      </c>
      <c r="C693" s="4" t="s">
        <v>2257</v>
      </c>
    </row>
    <row r="694" spans="2:3">
      <c r="B694" s="4" t="s">
        <v>166</v>
      </c>
      <c r="C694" s="4" t="s">
        <v>2258</v>
      </c>
    </row>
    <row r="695" spans="2:3">
      <c r="B695" s="4" t="s">
        <v>167</v>
      </c>
      <c r="C695" s="4" t="s">
        <v>2259</v>
      </c>
    </row>
    <row r="696" spans="2:3">
      <c r="B696" s="4" t="s">
        <v>168</v>
      </c>
      <c r="C696" s="4" t="s">
        <v>2260</v>
      </c>
    </row>
    <row r="697" spans="2:3">
      <c r="B697" s="4" t="s">
        <v>169</v>
      </c>
      <c r="C697" s="4" t="s">
        <v>2261</v>
      </c>
    </row>
    <row r="698" spans="2:3">
      <c r="B698" s="4" t="s">
        <v>170</v>
      </c>
      <c r="C698" s="4" t="s">
        <v>2262</v>
      </c>
    </row>
    <row r="699" spans="2:3">
      <c r="B699" s="4" t="s">
        <v>171</v>
      </c>
      <c r="C699" s="4" t="s">
        <v>2263</v>
      </c>
    </row>
    <row r="700" spans="2:3">
      <c r="B700" s="4" t="s">
        <v>172</v>
      </c>
      <c r="C700" s="4" t="s">
        <v>2264</v>
      </c>
    </row>
    <row r="701" spans="2:3">
      <c r="B701" s="4" t="s">
        <v>173</v>
      </c>
      <c r="C701" s="4" t="s">
        <v>2265</v>
      </c>
    </row>
    <row r="702" spans="2:3">
      <c r="B702" s="4" t="s">
        <v>174</v>
      </c>
      <c r="C702" s="4" t="s">
        <v>2266</v>
      </c>
    </row>
    <row r="703" spans="2:3">
      <c r="B703" s="4" t="s">
        <v>175</v>
      </c>
      <c r="C703" s="4" t="s">
        <v>2267</v>
      </c>
    </row>
    <row r="704" spans="2:3">
      <c r="B704" s="4" t="s">
        <v>176</v>
      </c>
      <c r="C704" s="4" t="s">
        <v>2268</v>
      </c>
    </row>
    <row r="705" spans="2:3">
      <c r="B705" s="4" t="s">
        <v>177</v>
      </c>
      <c r="C705" s="4" t="s">
        <v>2269</v>
      </c>
    </row>
    <row r="706" spans="2:3">
      <c r="B706" s="4" t="s">
        <v>178</v>
      </c>
      <c r="C706" s="4" t="s">
        <v>2270</v>
      </c>
    </row>
    <row r="707" spans="2:3">
      <c r="B707" s="4" t="s">
        <v>179</v>
      </c>
      <c r="C707" s="4" t="s">
        <v>2271</v>
      </c>
    </row>
    <row r="708" spans="2:3">
      <c r="B708" s="4" t="s">
        <v>180</v>
      </c>
      <c r="C708" s="4" t="s">
        <v>2272</v>
      </c>
    </row>
    <row r="709" spans="2:3">
      <c r="B709" s="4" t="s">
        <v>181</v>
      </c>
      <c r="C709" s="4" t="s">
        <v>2273</v>
      </c>
    </row>
    <row r="710" spans="2:3">
      <c r="B710" s="4" t="s">
        <v>182</v>
      </c>
      <c r="C710" s="4" t="s">
        <v>2274</v>
      </c>
    </row>
    <row r="711" spans="2:3">
      <c r="B711" s="4" t="s">
        <v>183</v>
      </c>
      <c r="C711" s="4" t="s">
        <v>2275</v>
      </c>
    </row>
    <row r="712" spans="2:3">
      <c r="B712" s="4" t="s">
        <v>184</v>
      </c>
      <c r="C712" s="4" t="s">
        <v>2276</v>
      </c>
    </row>
    <row r="713" spans="2:3">
      <c r="B713" s="4" t="s">
        <v>185</v>
      </c>
      <c r="C713" s="4" t="s">
        <v>2277</v>
      </c>
    </row>
    <row r="714" spans="2:3">
      <c r="B714" s="4" t="s">
        <v>186</v>
      </c>
      <c r="C714" s="4" t="s">
        <v>2278</v>
      </c>
    </row>
    <row r="715" spans="2:3">
      <c r="B715" s="4" t="s">
        <v>187</v>
      </c>
      <c r="C715" s="4" t="s">
        <v>2279</v>
      </c>
    </row>
    <row r="716" spans="2:3">
      <c r="B716" s="4" t="s">
        <v>188</v>
      </c>
      <c r="C716" s="4" t="s">
        <v>2280</v>
      </c>
    </row>
    <row r="717" spans="2:3">
      <c r="B717" s="4" t="s">
        <v>408</v>
      </c>
      <c r="C717" s="4" t="s">
        <v>2281</v>
      </c>
    </row>
    <row r="718" spans="2:3">
      <c r="B718" s="4" t="s">
        <v>409</v>
      </c>
      <c r="C718" s="4" t="s">
        <v>2282</v>
      </c>
    </row>
    <row r="719" spans="2:3">
      <c r="B719" s="4" t="s">
        <v>410</v>
      </c>
      <c r="C719" s="4" t="s">
        <v>2283</v>
      </c>
    </row>
    <row r="720" spans="2:3">
      <c r="B720" s="4" t="s">
        <v>411</v>
      </c>
      <c r="C720" s="4" t="s">
        <v>2284</v>
      </c>
    </row>
    <row r="721" spans="2:3">
      <c r="B721" s="4" t="s">
        <v>412</v>
      </c>
      <c r="C721" s="4" t="s">
        <v>2285</v>
      </c>
    </row>
    <row r="722" spans="2:3">
      <c r="B722" s="4" t="s">
        <v>413</v>
      </c>
      <c r="C722" s="4" t="s">
        <v>2286</v>
      </c>
    </row>
    <row r="723" spans="2:3">
      <c r="B723" s="4" t="s">
        <v>414</v>
      </c>
      <c r="C723" s="4" t="s">
        <v>2287</v>
      </c>
    </row>
    <row r="724" spans="2:3">
      <c r="B724" s="4" t="s">
        <v>415</v>
      </c>
      <c r="C724" s="4" t="s">
        <v>2288</v>
      </c>
    </row>
    <row r="725" spans="2:3">
      <c r="B725" s="4" t="s">
        <v>416</v>
      </c>
      <c r="C725" s="4" t="s">
        <v>2289</v>
      </c>
    </row>
    <row r="726" spans="2:3">
      <c r="B726" s="4" t="s">
        <v>417</v>
      </c>
      <c r="C726" s="4" t="s">
        <v>2290</v>
      </c>
    </row>
    <row r="727" spans="2:3">
      <c r="B727" s="4" t="s">
        <v>418</v>
      </c>
      <c r="C727" s="4" t="s">
        <v>2291</v>
      </c>
    </row>
    <row r="728" spans="2:3">
      <c r="B728" s="4" t="s">
        <v>419</v>
      </c>
      <c r="C728" s="4" t="s">
        <v>2292</v>
      </c>
    </row>
    <row r="729" spans="2:3">
      <c r="B729" s="4" t="s">
        <v>2293</v>
      </c>
      <c r="C729" s="4" t="s">
        <v>708</v>
      </c>
    </row>
    <row r="730" spans="2:3">
      <c r="B730" s="4" t="s">
        <v>2294</v>
      </c>
      <c r="C730" s="4" t="s">
        <v>2295</v>
      </c>
    </row>
    <row r="731" spans="2:3">
      <c r="B731" s="4" t="s">
        <v>2296</v>
      </c>
      <c r="C731" s="4" t="s">
        <v>2297</v>
      </c>
    </row>
    <row r="732" spans="2:3">
      <c r="B732" s="4" t="s">
        <v>421</v>
      </c>
      <c r="C732" s="4" t="s">
        <v>2298</v>
      </c>
    </row>
    <row r="733" spans="2:3">
      <c r="B733" s="4" t="s">
        <v>422</v>
      </c>
      <c r="C733" s="4" t="s">
        <v>2299</v>
      </c>
    </row>
    <row r="734" spans="2:3">
      <c r="B734" s="4" t="s">
        <v>2300</v>
      </c>
      <c r="C734" s="4" t="s">
        <v>2301</v>
      </c>
    </row>
    <row r="735" spans="2:3">
      <c r="B735" s="4" t="s">
        <v>424</v>
      </c>
      <c r="C735" s="4" t="s">
        <v>2302</v>
      </c>
    </row>
    <row r="736" spans="2:3">
      <c r="B736" s="4" t="s">
        <v>102</v>
      </c>
      <c r="C736" s="4" t="s">
        <v>2303</v>
      </c>
    </row>
    <row r="737" spans="2:3">
      <c r="B737" s="4" t="s">
        <v>103</v>
      </c>
      <c r="C737" s="4" t="s">
        <v>2304</v>
      </c>
    </row>
    <row r="738" spans="2:3">
      <c r="B738" s="4" t="s">
        <v>25</v>
      </c>
      <c r="C738" s="4" t="s">
        <v>2305</v>
      </c>
    </row>
    <row r="739" spans="2:3">
      <c r="B739" s="4" t="s">
        <v>26</v>
      </c>
      <c r="C739" s="4" t="s">
        <v>2306</v>
      </c>
    </row>
    <row r="740" spans="2:3">
      <c r="B740" s="4" t="s">
        <v>2307</v>
      </c>
      <c r="C740" s="4" t="s">
        <v>2308</v>
      </c>
    </row>
    <row r="741" spans="2:3">
      <c r="B741" s="4" t="s">
        <v>360</v>
      </c>
      <c r="C741" s="4" t="s">
        <v>2309</v>
      </c>
    </row>
    <row r="742" spans="2:3">
      <c r="B742" s="4" t="s">
        <v>362</v>
      </c>
      <c r="C742" s="4" t="s">
        <v>2310</v>
      </c>
    </row>
    <row r="743" spans="2:3">
      <c r="B743" s="4" t="s">
        <v>363</v>
      </c>
      <c r="C743" s="4" t="s">
        <v>2311</v>
      </c>
    </row>
    <row r="744" spans="2:3">
      <c r="B744" s="4" t="s">
        <v>364</v>
      </c>
      <c r="C744" s="4" t="s">
        <v>2312</v>
      </c>
    </row>
    <row r="745" spans="2:3">
      <c r="B745" s="4" t="s">
        <v>365</v>
      </c>
      <c r="C745" s="4" t="s">
        <v>2313</v>
      </c>
    </row>
    <row r="746" spans="2:3">
      <c r="B746" s="4" t="s">
        <v>2314</v>
      </c>
      <c r="C746" s="4" t="s">
        <v>746</v>
      </c>
    </row>
    <row r="747" spans="2:3">
      <c r="B747" s="4" t="s">
        <v>530</v>
      </c>
      <c r="C747" s="4" t="s">
        <v>2315</v>
      </c>
    </row>
    <row r="748" spans="2:3">
      <c r="B748" s="4" t="s">
        <v>531</v>
      </c>
      <c r="C748" s="4" t="s">
        <v>747</v>
      </c>
    </row>
    <row r="749" spans="2:3">
      <c r="B749" s="4" t="s">
        <v>532</v>
      </c>
      <c r="C749" s="4" t="s">
        <v>748</v>
      </c>
    </row>
    <row r="750" spans="2:3">
      <c r="B750" s="4" t="s">
        <v>2316</v>
      </c>
      <c r="C750" s="4" t="s">
        <v>749</v>
      </c>
    </row>
    <row r="751" spans="2:3">
      <c r="B751" s="4" t="s">
        <v>533</v>
      </c>
      <c r="C751" s="4" t="s">
        <v>2317</v>
      </c>
    </row>
    <row r="752" spans="2:3">
      <c r="B752" s="4" t="s">
        <v>2318</v>
      </c>
      <c r="C752" s="4" t="s">
        <v>2319</v>
      </c>
    </row>
    <row r="753" spans="2:3">
      <c r="B753" s="4" t="s">
        <v>2320</v>
      </c>
      <c r="C753" s="4" t="s">
        <v>750</v>
      </c>
    </row>
    <row r="754" spans="2:3">
      <c r="B754" s="4" t="s">
        <v>327</v>
      </c>
      <c r="C754" s="4" t="s">
        <v>2321</v>
      </c>
    </row>
    <row r="755" spans="2:3">
      <c r="B755" s="4" t="s">
        <v>328</v>
      </c>
      <c r="C755" s="4" t="s">
        <v>2322</v>
      </c>
    </row>
    <row r="756" spans="2:3">
      <c r="B756" s="4" t="s">
        <v>2323</v>
      </c>
      <c r="C756" s="4" t="s">
        <v>2324</v>
      </c>
    </row>
    <row r="757" spans="2:3">
      <c r="B757" s="4" t="s">
        <v>2325</v>
      </c>
      <c r="C757" s="4" t="s">
        <v>751</v>
      </c>
    </row>
    <row r="758" spans="2:3">
      <c r="B758" s="4" t="s">
        <v>2326</v>
      </c>
      <c r="C758" s="4" t="s">
        <v>752</v>
      </c>
    </row>
    <row r="759" spans="2:3">
      <c r="B759" s="4" t="s">
        <v>2327</v>
      </c>
      <c r="C759" s="4" t="s">
        <v>2328</v>
      </c>
    </row>
    <row r="760" spans="2:3">
      <c r="B760" s="4" t="s">
        <v>2329</v>
      </c>
      <c r="C760" s="4" t="s">
        <v>2330</v>
      </c>
    </row>
    <row r="761" spans="2:3">
      <c r="B761" s="4" t="s">
        <v>2331</v>
      </c>
      <c r="C761" s="4" t="s">
        <v>2332</v>
      </c>
    </row>
    <row r="762" spans="2:3">
      <c r="B762" s="4" t="s">
        <v>2333</v>
      </c>
      <c r="C762" s="4" t="s">
        <v>2334</v>
      </c>
    </row>
    <row r="763" spans="2:3">
      <c r="B763" s="4" t="s">
        <v>2335</v>
      </c>
      <c r="C763" s="4" t="s">
        <v>2336</v>
      </c>
    </row>
    <row r="764" spans="2:3">
      <c r="B764" s="4" t="s">
        <v>2337</v>
      </c>
      <c r="C764" s="4" t="s">
        <v>2338</v>
      </c>
    </row>
    <row r="765" spans="2:3">
      <c r="B765" s="4" t="s">
        <v>2339</v>
      </c>
      <c r="C765" s="4" t="s">
        <v>2340</v>
      </c>
    </row>
    <row r="766" spans="2:3">
      <c r="B766" s="4" t="s">
        <v>2341</v>
      </c>
      <c r="C766" s="4" t="s">
        <v>2342</v>
      </c>
    </row>
    <row r="767" spans="2:3">
      <c r="B767" s="4" t="s">
        <v>2343</v>
      </c>
      <c r="C767" s="4" t="s">
        <v>2344</v>
      </c>
    </row>
    <row r="768" spans="2:3">
      <c r="B768" s="4" t="s">
        <v>2345</v>
      </c>
      <c r="C768" s="4" t="s">
        <v>2346</v>
      </c>
    </row>
    <row r="769" spans="2:3">
      <c r="B769" s="4" t="s">
        <v>2347</v>
      </c>
      <c r="C769" s="4" t="s">
        <v>2348</v>
      </c>
    </row>
    <row r="770" spans="2:3">
      <c r="B770" s="4" t="s">
        <v>2349</v>
      </c>
      <c r="C770" s="4" t="s">
        <v>2350</v>
      </c>
    </row>
    <row r="771" spans="2:3">
      <c r="B771" s="4" t="s">
        <v>2351</v>
      </c>
      <c r="C771" s="4" t="s">
        <v>2352</v>
      </c>
    </row>
    <row r="772" spans="2:3">
      <c r="B772" s="4" t="s">
        <v>1341</v>
      </c>
      <c r="C772" s="4" t="s">
        <v>2353</v>
      </c>
    </row>
    <row r="773" spans="2:3">
      <c r="B773" s="4" t="s">
        <v>2354</v>
      </c>
      <c r="C773" s="4" t="s">
        <v>2355</v>
      </c>
    </row>
    <row r="774" spans="2:3">
      <c r="B774" s="4" t="s">
        <v>2356</v>
      </c>
      <c r="C774" s="4" t="s">
        <v>2357</v>
      </c>
    </row>
    <row r="775" spans="2:3">
      <c r="B775" s="4" t="s">
        <v>213</v>
      </c>
      <c r="C775" s="4" t="s">
        <v>2358</v>
      </c>
    </row>
    <row r="776" spans="2:3">
      <c r="B776" s="4" t="s">
        <v>214</v>
      </c>
      <c r="C776" s="4" t="s">
        <v>2359</v>
      </c>
    </row>
    <row r="777" spans="2:3">
      <c r="B777" s="4" t="s">
        <v>215</v>
      </c>
      <c r="C777" s="4" t="s">
        <v>2360</v>
      </c>
    </row>
    <row r="778" spans="2:3">
      <c r="B778" s="4" t="s">
        <v>216</v>
      </c>
      <c r="C778" s="4" t="s">
        <v>2361</v>
      </c>
    </row>
    <row r="779" spans="2:3">
      <c r="B779" s="4" t="s">
        <v>2362</v>
      </c>
      <c r="C779" s="4" t="s">
        <v>2363</v>
      </c>
    </row>
    <row r="780" spans="2:3">
      <c r="B780" s="4" t="s">
        <v>2364</v>
      </c>
      <c r="C780" s="4" t="s">
        <v>2365</v>
      </c>
    </row>
    <row r="781" spans="2:3">
      <c r="B781" s="4" t="s">
        <v>2366</v>
      </c>
      <c r="C781" s="4" t="s">
        <v>2367</v>
      </c>
    </row>
    <row r="782" spans="2:3">
      <c r="B782" s="4" t="s">
        <v>2368</v>
      </c>
      <c r="C782" s="4" t="s">
        <v>2369</v>
      </c>
    </row>
    <row r="783" spans="2:3">
      <c r="B783" s="4" t="s">
        <v>2370</v>
      </c>
      <c r="C783" s="4" t="s">
        <v>2371</v>
      </c>
    </row>
    <row r="784" spans="2:3">
      <c r="B784" s="4" t="s">
        <v>2372</v>
      </c>
      <c r="C784" s="4" t="s">
        <v>2373</v>
      </c>
    </row>
    <row r="785" spans="2:3">
      <c r="B785" s="4" t="s">
        <v>2374</v>
      </c>
      <c r="C785" s="4" t="s">
        <v>2375</v>
      </c>
    </row>
    <row r="786" spans="2:3">
      <c r="B786" s="4" t="s">
        <v>2376</v>
      </c>
      <c r="C786" s="4" t="s">
        <v>2377</v>
      </c>
    </row>
    <row r="787" spans="2:3">
      <c r="B787" s="4" t="s">
        <v>2378</v>
      </c>
      <c r="C787" s="4" t="s">
        <v>2379</v>
      </c>
    </row>
    <row r="788" spans="2:3">
      <c r="B788" s="4" t="s">
        <v>2380</v>
      </c>
      <c r="C788" s="4" t="s">
        <v>2381</v>
      </c>
    </row>
    <row r="789" spans="2:3">
      <c r="B789" s="4" t="s">
        <v>2382</v>
      </c>
      <c r="C789" s="4" t="s">
        <v>960</v>
      </c>
    </row>
    <row r="790" spans="2:3">
      <c r="B790" s="4" t="s">
        <v>2383</v>
      </c>
      <c r="C790" s="4" t="s">
        <v>961</v>
      </c>
    </row>
    <row r="791" spans="2:3">
      <c r="B791" s="4" t="s">
        <v>2384</v>
      </c>
      <c r="C791" s="4" t="s">
        <v>962</v>
      </c>
    </row>
    <row r="792" spans="2:3">
      <c r="B792" s="4" t="s">
        <v>2385</v>
      </c>
      <c r="C792" s="4" t="s">
        <v>2386</v>
      </c>
    </row>
    <row r="793" spans="2:3">
      <c r="B793" s="4" t="s">
        <v>2387</v>
      </c>
      <c r="C793" s="4" t="s">
        <v>2388</v>
      </c>
    </row>
    <row r="794" spans="2:3">
      <c r="B794" s="4" t="s">
        <v>2389</v>
      </c>
      <c r="C794" s="4" t="s">
        <v>2390</v>
      </c>
    </row>
    <row r="795" spans="2:3">
      <c r="B795" s="4" t="s">
        <v>2391</v>
      </c>
      <c r="C795" s="4" t="s">
        <v>2392</v>
      </c>
    </row>
    <row r="796" spans="2:3">
      <c r="B796" s="4" t="s">
        <v>2393</v>
      </c>
      <c r="C796" s="4" t="s">
        <v>2394</v>
      </c>
    </row>
    <row r="797" spans="2:3">
      <c r="B797" s="4" t="s">
        <v>2395</v>
      </c>
      <c r="C797" s="4" t="s">
        <v>2396</v>
      </c>
    </row>
    <row r="798" spans="2:3">
      <c r="B798" s="4" t="s">
        <v>2397</v>
      </c>
      <c r="C798" s="4" t="s">
        <v>2398</v>
      </c>
    </row>
    <row r="799" spans="2:3">
      <c r="B799" s="4" t="s">
        <v>2399</v>
      </c>
      <c r="C799" s="4" t="s">
        <v>2400</v>
      </c>
    </row>
    <row r="800" spans="2:3">
      <c r="B800" s="4" t="s">
        <v>2401</v>
      </c>
      <c r="C800" s="4" t="s">
        <v>2402</v>
      </c>
    </row>
    <row r="801" spans="2:3">
      <c r="B801" s="4" t="s">
        <v>2403</v>
      </c>
      <c r="C801" s="4" t="s">
        <v>2404</v>
      </c>
    </row>
    <row r="802" spans="2:3">
      <c r="B802" s="4" t="s">
        <v>2405</v>
      </c>
      <c r="C802" s="4" t="s">
        <v>2406</v>
      </c>
    </row>
    <row r="803" spans="2:3">
      <c r="B803" s="4" t="s">
        <v>2407</v>
      </c>
      <c r="C803" s="4" t="s">
        <v>2408</v>
      </c>
    </row>
    <row r="804" spans="2:3">
      <c r="B804" s="4" t="s">
        <v>218</v>
      </c>
      <c r="C804" s="4" t="s">
        <v>2409</v>
      </c>
    </row>
    <row r="805" spans="2:3">
      <c r="B805" s="4" t="s">
        <v>219</v>
      </c>
      <c r="C805" s="4" t="s">
        <v>2410</v>
      </c>
    </row>
    <row r="806" spans="2:3">
      <c r="B806" s="4" t="s">
        <v>220</v>
      </c>
      <c r="C806" s="4" t="s">
        <v>2411</v>
      </c>
    </row>
    <row r="807" spans="2:3">
      <c r="B807" s="4" t="s">
        <v>2412</v>
      </c>
      <c r="C807" s="4" t="s">
        <v>2413</v>
      </c>
    </row>
    <row r="808" spans="2:3">
      <c r="B808" s="4" t="s">
        <v>30</v>
      </c>
      <c r="C808" s="4" t="s">
        <v>2414</v>
      </c>
    </row>
    <row r="809" spans="2:3">
      <c r="B809" s="4" t="s">
        <v>31</v>
      </c>
      <c r="C809" s="4" t="s">
        <v>2415</v>
      </c>
    </row>
    <row r="810" spans="2:3">
      <c r="B810" s="4" t="s">
        <v>32</v>
      </c>
      <c r="C810" s="4" t="s">
        <v>2416</v>
      </c>
    </row>
    <row r="811" spans="2:3">
      <c r="B811" s="4" t="s">
        <v>33</v>
      </c>
      <c r="C811" s="4" t="s">
        <v>2417</v>
      </c>
    </row>
    <row r="812" spans="2:3">
      <c r="B812" s="4" t="s">
        <v>34</v>
      </c>
      <c r="C812" s="4" t="s">
        <v>2418</v>
      </c>
    </row>
    <row r="813" spans="2:3">
      <c r="B813" s="4" t="s">
        <v>35</v>
      </c>
      <c r="C813" s="4" t="s">
        <v>2419</v>
      </c>
    </row>
    <row r="814" spans="2:3">
      <c r="B814" s="4" t="s">
        <v>2420</v>
      </c>
      <c r="C814" s="4" t="s">
        <v>2421</v>
      </c>
    </row>
    <row r="815" spans="2:3">
      <c r="B815" s="4" t="s">
        <v>793</v>
      </c>
      <c r="C815" s="4" t="s">
        <v>2422</v>
      </c>
    </row>
    <row r="816" spans="2:3">
      <c r="B816" s="4" t="s">
        <v>794</v>
      </c>
      <c r="C816" s="4" t="s">
        <v>2423</v>
      </c>
    </row>
    <row r="817" spans="2:3">
      <c r="B817" s="4" t="s">
        <v>2424</v>
      </c>
      <c r="C817" s="4" t="s">
        <v>901</v>
      </c>
    </row>
    <row r="818" spans="2:3">
      <c r="B818" s="4" t="s">
        <v>2425</v>
      </c>
      <c r="C818" s="4" t="s">
        <v>902</v>
      </c>
    </row>
    <row r="819" spans="2:3">
      <c r="B819" s="4" t="s">
        <v>36</v>
      </c>
      <c r="C819" s="4" t="s">
        <v>2426</v>
      </c>
    </row>
    <row r="820" spans="2:3">
      <c r="B820" s="4" t="s">
        <v>37</v>
      </c>
      <c r="C820" s="4" t="s">
        <v>2427</v>
      </c>
    </row>
    <row r="821" spans="2:3">
      <c r="B821" s="4" t="s">
        <v>38</v>
      </c>
      <c r="C821" s="4" t="s">
        <v>2428</v>
      </c>
    </row>
    <row r="822" spans="2:3">
      <c r="B822" s="4" t="s">
        <v>39</v>
      </c>
      <c r="C822" s="4" t="s">
        <v>2429</v>
      </c>
    </row>
    <row r="823" spans="2:3">
      <c r="B823" s="4" t="s">
        <v>40</v>
      </c>
      <c r="C823" s="4" t="s">
        <v>2430</v>
      </c>
    </row>
    <row r="824" spans="2:3">
      <c r="B824" s="4" t="s">
        <v>41</v>
      </c>
      <c r="C824" s="4" t="s">
        <v>2431</v>
      </c>
    </row>
    <row r="825" spans="2:3">
      <c r="B825" s="4" t="s">
        <v>2432</v>
      </c>
      <c r="C825" s="4" t="s">
        <v>2433</v>
      </c>
    </row>
    <row r="826" spans="2:3">
      <c r="B826" s="4" t="s">
        <v>764</v>
      </c>
      <c r="C826" s="4" t="s">
        <v>2434</v>
      </c>
    </row>
    <row r="827" spans="2:3">
      <c r="B827" s="4" t="s">
        <v>765</v>
      </c>
      <c r="C827" s="4" t="s">
        <v>2435</v>
      </c>
    </row>
    <row r="828" spans="2:3">
      <c r="B828" s="4" t="s">
        <v>2436</v>
      </c>
      <c r="C828" s="4" t="s">
        <v>2437</v>
      </c>
    </row>
    <row r="829" spans="2:3">
      <c r="B829" s="4" t="s">
        <v>771</v>
      </c>
      <c r="C829" s="4" t="s">
        <v>2438</v>
      </c>
    </row>
    <row r="830" spans="2:3">
      <c r="B830" s="4" t="s">
        <v>772</v>
      </c>
      <c r="C830" s="4" t="s">
        <v>2439</v>
      </c>
    </row>
    <row r="831" spans="2:3">
      <c r="B831" s="4" t="s">
        <v>2440</v>
      </c>
      <c r="C831" s="4" t="s">
        <v>2441</v>
      </c>
    </row>
    <row r="832" spans="2:3">
      <c r="B832" s="4" t="s">
        <v>2442</v>
      </c>
      <c r="C832" s="4" t="s">
        <v>2443</v>
      </c>
    </row>
    <row r="833" spans="2:3">
      <c r="B833" s="4" t="s">
        <v>2444</v>
      </c>
      <c r="C833" s="4" t="s">
        <v>2445</v>
      </c>
    </row>
    <row r="834" spans="2:3">
      <c r="B834" s="4" t="s">
        <v>2446</v>
      </c>
      <c r="C834" s="4" t="s">
        <v>2447</v>
      </c>
    </row>
    <row r="835" spans="2:3">
      <c r="B835" s="4" t="s">
        <v>2448</v>
      </c>
      <c r="C835" s="4" t="s">
        <v>2449</v>
      </c>
    </row>
    <row r="836" spans="2:3">
      <c r="B836" s="4" t="s">
        <v>2450</v>
      </c>
      <c r="C836" s="4" t="s">
        <v>2451</v>
      </c>
    </row>
    <row r="837" spans="2:3">
      <c r="B837" s="4" t="s">
        <v>2452</v>
      </c>
      <c r="C837" s="4" t="s">
        <v>2453</v>
      </c>
    </row>
    <row r="838" spans="2:3">
      <c r="B838" s="4" t="s">
        <v>1042</v>
      </c>
      <c r="C838" s="4" t="s">
        <v>2454</v>
      </c>
    </row>
    <row r="839" spans="2:3">
      <c r="B839" s="4" t="s">
        <v>1043</v>
      </c>
      <c r="C839" s="4" t="s">
        <v>2455</v>
      </c>
    </row>
    <row r="840" spans="2:3">
      <c r="B840" s="4" t="s">
        <v>1044</v>
      </c>
      <c r="C840" s="4" t="s">
        <v>2456</v>
      </c>
    </row>
    <row r="841" spans="2:3">
      <c r="B841" s="4" t="s">
        <v>1045</v>
      </c>
      <c r="C841" s="4" t="s">
        <v>2457</v>
      </c>
    </row>
    <row r="842" spans="2:3">
      <c r="B842" s="4" t="s">
        <v>1046</v>
      </c>
      <c r="C842" s="4" t="s">
        <v>2458</v>
      </c>
    </row>
    <row r="843" spans="2:3">
      <c r="B843" s="4" t="s">
        <v>1047</v>
      </c>
      <c r="C843" s="4" t="s">
        <v>2459</v>
      </c>
    </row>
    <row r="844" spans="2:3">
      <c r="B844" s="4" t="s">
        <v>1048</v>
      </c>
      <c r="C844" s="4" t="s">
        <v>2460</v>
      </c>
    </row>
    <row r="845" spans="2:3">
      <c r="B845" s="4" t="s">
        <v>1049</v>
      </c>
      <c r="C845" s="4" t="s">
        <v>2461</v>
      </c>
    </row>
    <row r="846" spans="2:3">
      <c r="B846" s="4" t="s">
        <v>1050</v>
      </c>
      <c r="C846" s="4" t="s">
        <v>2462</v>
      </c>
    </row>
    <row r="847" spans="2:3">
      <c r="B847" s="4" t="s">
        <v>1051</v>
      </c>
      <c r="C847" s="4" t="s">
        <v>2463</v>
      </c>
    </row>
    <row r="848" spans="2:3">
      <c r="B848" s="4" t="s">
        <v>1052</v>
      </c>
      <c r="C848" s="4" t="s">
        <v>2464</v>
      </c>
    </row>
    <row r="849" spans="2:3">
      <c r="B849" s="4" t="s">
        <v>1053</v>
      </c>
      <c r="C849" s="4" t="s">
        <v>2465</v>
      </c>
    </row>
    <row r="850" spans="2:3">
      <c r="B850" s="4" t="s">
        <v>1054</v>
      </c>
      <c r="C850" s="4" t="s">
        <v>2466</v>
      </c>
    </row>
    <row r="851" spans="2:3">
      <c r="B851" s="4" t="s">
        <v>2467</v>
      </c>
      <c r="C851" s="4" t="s">
        <v>2468</v>
      </c>
    </row>
    <row r="852" spans="2:3">
      <c r="B852" s="4" t="s">
        <v>1055</v>
      </c>
      <c r="C852" s="4" t="s">
        <v>2469</v>
      </c>
    </row>
    <row r="853" spans="2:3">
      <c r="B853" s="4" t="s">
        <v>2470</v>
      </c>
      <c r="C853" s="4" t="s">
        <v>2471</v>
      </c>
    </row>
    <row r="854" spans="2:3">
      <c r="B854" s="4" t="s">
        <v>2472</v>
      </c>
      <c r="C854" s="4" t="s">
        <v>2473</v>
      </c>
    </row>
    <row r="855" spans="2:3">
      <c r="B855" s="4" t="s">
        <v>2474</v>
      </c>
      <c r="C855" s="4" t="s">
        <v>2475</v>
      </c>
    </row>
    <row r="856" spans="2:3">
      <c r="B856" s="4" t="s">
        <v>2476</v>
      </c>
      <c r="C856" s="4" t="s">
        <v>2477</v>
      </c>
    </row>
    <row r="857" spans="2:3">
      <c r="B857" s="4" t="s">
        <v>2478</v>
      </c>
      <c r="C857" s="4" t="s">
        <v>2479</v>
      </c>
    </row>
    <row r="858" spans="2:3">
      <c r="B858" s="4" t="s">
        <v>2480</v>
      </c>
      <c r="C858" s="4" t="s">
        <v>2481</v>
      </c>
    </row>
    <row r="859" spans="2:3">
      <c r="B859" s="4" t="s">
        <v>2482</v>
      </c>
      <c r="C859" s="4" t="s">
        <v>2483</v>
      </c>
    </row>
    <row r="860" spans="2:3">
      <c r="B860" s="4" t="s">
        <v>1057</v>
      </c>
      <c r="C860" s="4" t="s">
        <v>2484</v>
      </c>
    </row>
    <row r="861" spans="2:3">
      <c r="B861" s="4" t="s">
        <v>1058</v>
      </c>
      <c r="C861" s="4" t="s">
        <v>2485</v>
      </c>
    </row>
    <row r="862" spans="2:3">
      <c r="B862" s="4" t="s">
        <v>1060</v>
      </c>
      <c r="C862" s="4" t="s">
        <v>2486</v>
      </c>
    </row>
    <row r="863" spans="2:3">
      <c r="B863" s="4" t="s">
        <v>1061</v>
      </c>
      <c r="C863" s="4" t="s">
        <v>2487</v>
      </c>
    </row>
    <row r="864" spans="2:3">
      <c r="B864" s="4" t="s">
        <v>1062</v>
      </c>
      <c r="C864" s="4" t="s">
        <v>2488</v>
      </c>
    </row>
    <row r="865" spans="2:3">
      <c r="B865" s="4" t="s">
        <v>1063</v>
      </c>
      <c r="C865" s="4" t="s">
        <v>2489</v>
      </c>
    </row>
    <row r="866" spans="2:3">
      <c r="B866" s="4" t="s">
        <v>1064</v>
      </c>
      <c r="C866" s="4" t="s">
        <v>2490</v>
      </c>
    </row>
    <row r="867" spans="2:3">
      <c r="B867" s="4" t="s">
        <v>43</v>
      </c>
      <c r="C867" s="4" t="s">
        <v>2491</v>
      </c>
    </row>
    <row r="868" spans="2:3">
      <c r="B868" s="4" t="s">
        <v>2492</v>
      </c>
      <c r="C868" s="4" t="s">
        <v>2493</v>
      </c>
    </row>
    <row r="869" spans="2:3">
      <c r="B869" s="4" t="s">
        <v>44</v>
      </c>
      <c r="C869" s="4" t="s">
        <v>2494</v>
      </c>
    </row>
    <row r="870" spans="2:3">
      <c r="B870" s="4" t="s">
        <v>45</v>
      </c>
      <c r="C870" s="4" t="s">
        <v>2495</v>
      </c>
    </row>
    <row r="871" spans="2:3">
      <c r="B871" s="4" t="s">
        <v>46</v>
      </c>
      <c r="C871" s="4" t="s">
        <v>2496</v>
      </c>
    </row>
    <row r="872" spans="2:3">
      <c r="B872" s="4" t="s">
        <v>47</v>
      </c>
      <c r="C872" s="4" t="s">
        <v>2497</v>
      </c>
    </row>
    <row r="873" spans="2:3">
      <c r="B873" s="4" t="s">
        <v>2498</v>
      </c>
      <c r="C873" s="4" t="s">
        <v>2499</v>
      </c>
    </row>
    <row r="874" spans="2:3">
      <c r="B874" s="4" t="s">
        <v>356</v>
      </c>
      <c r="C874" s="4" t="s">
        <v>2500</v>
      </c>
    </row>
    <row r="875" spans="2:3">
      <c r="B875" s="4" t="s">
        <v>357</v>
      </c>
      <c r="C875" s="4" t="s">
        <v>2501</v>
      </c>
    </row>
    <row r="876" spans="2:3">
      <c r="B876" s="4" t="s">
        <v>358</v>
      </c>
      <c r="C876" s="4" t="s">
        <v>2502</v>
      </c>
    </row>
    <row r="877" spans="2:3">
      <c r="B877" s="4" t="s">
        <v>291</v>
      </c>
      <c r="C877" s="4" t="s">
        <v>2503</v>
      </c>
    </row>
    <row r="878" spans="2:3">
      <c r="B878" s="4" t="s">
        <v>292</v>
      </c>
      <c r="C878" s="4" t="s">
        <v>2504</v>
      </c>
    </row>
    <row r="879" spans="2:3">
      <c r="B879" s="4" t="s">
        <v>293</v>
      </c>
      <c r="C879" s="4" t="s">
        <v>2505</v>
      </c>
    </row>
    <row r="880" spans="2:3">
      <c r="B880" s="4" t="s">
        <v>2506</v>
      </c>
      <c r="C880" s="4" t="s">
        <v>2507</v>
      </c>
    </row>
    <row r="881" spans="2:3">
      <c r="B881" s="4" t="s">
        <v>2508</v>
      </c>
      <c r="C881" s="4" t="s">
        <v>2509</v>
      </c>
    </row>
    <row r="882" spans="2:3">
      <c r="B882" s="4" t="s">
        <v>2510</v>
      </c>
      <c r="C882" s="4" t="s">
        <v>2511</v>
      </c>
    </row>
    <row r="883" spans="2:3">
      <c r="B883" s="4" t="s">
        <v>2512</v>
      </c>
      <c r="C883" s="4" t="s">
        <v>2513</v>
      </c>
    </row>
    <row r="884" spans="2:3">
      <c r="B884" s="4" t="s">
        <v>2514</v>
      </c>
      <c r="C884" s="4" t="s">
        <v>2515</v>
      </c>
    </row>
    <row r="885" spans="2:3">
      <c r="B885" s="4" t="s">
        <v>2516</v>
      </c>
      <c r="C885" s="4" t="s">
        <v>2517</v>
      </c>
    </row>
    <row r="886" spans="2:3">
      <c r="B886" s="4" t="s">
        <v>2518</v>
      </c>
      <c r="C886" s="4" t="s">
        <v>2519</v>
      </c>
    </row>
    <row r="887" spans="2:3">
      <c r="B887" s="4" t="s">
        <v>2520</v>
      </c>
      <c r="C887" s="4" t="s">
        <v>2521</v>
      </c>
    </row>
    <row r="888" spans="2:3">
      <c r="B888" s="4" t="s">
        <v>2522</v>
      </c>
      <c r="C888" s="4" t="s">
        <v>2523</v>
      </c>
    </row>
    <row r="889" spans="2:3">
      <c r="B889" s="4" t="s">
        <v>2524</v>
      </c>
      <c r="C889" s="4" t="s">
        <v>2525</v>
      </c>
    </row>
    <row r="890" spans="2:3">
      <c r="B890" s="4" t="s">
        <v>2526</v>
      </c>
      <c r="C890" s="4" t="s">
        <v>2527</v>
      </c>
    </row>
    <row r="891" spans="2:3">
      <c r="B891" s="4" t="s">
        <v>2528</v>
      </c>
      <c r="C891" s="4" t="s">
        <v>2529</v>
      </c>
    </row>
    <row r="892" spans="2:3">
      <c r="B892" s="4" t="s">
        <v>2530</v>
      </c>
      <c r="C892" s="4" t="s">
        <v>2531</v>
      </c>
    </row>
    <row r="893" spans="2:3">
      <c r="B893" s="4" t="s">
        <v>2532</v>
      </c>
      <c r="C893" s="4" t="s">
        <v>2533</v>
      </c>
    </row>
    <row r="894" spans="2:3">
      <c r="B894" s="4" t="s">
        <v>2534</v>
      </c>
      <c r="C894" s="4" t="s">
        <v>2535</v>
      </c>
    </row>
    <row r="895" spans="2:3">
      <c r="B895" s="4" t="s">
        <v>2536</v>
      </c>
      <c r="C895" s="4" t="s">
        <v>2537</v>
      </c>
    </row>
    <row r="896" spans="2:3">
      <c r="B896" s="4" t="s">
        <v>2538</v>
      </c>
      <c r="C896" s="4" t="s">
        <v>2539</v>
      </c>
    </row>
    <row r="897" spans="2:3">
      <c r="B897" s="4" t="s">
        <v>2540</v>
      </c>
      <c r="C897" s="4" t="s">
        <v>2541</v>
      </c>
    </row>
    <row r="898" spans="2:3">
      <c r="B898" s="4" t="s">
        <v>2542</v>
      </c>
      <c r="C898" s="4" t="s">
        <v>2543</v>
      </c>
    </row>
    <row r="899" spans="2:3">
      <c r="B899" s="4" t="s">
        <v>1065</v>
      </c>
      <c r="C899" s="4" t="s">
        <v>2544</v>
      </c>
    </row>
    <row r="900" spans="2:3">
      <c r="B900" s="4" t="s">
        <v>1276</v>
      </c>
      <c r="C900" s="4" t="s">
        <v>2545</v>
      </c>
    </row>
    <row r="901" spans="2:3">
      <c r="B901" s="4" t="s">
        <v>1277</v>
      </c>
      <c r="C901" s="4" t="s">
        <v>2546</v>
      </c>
    </row>
    <row r="902" spans="2:3">
      <c r="B902" s="4" t="s">
        <v>1278</v>
      </c>
      <c r="C902" s="4" t="s">
        <v>2547</v>
      </c>
    </row>
    <row r="903" spans="2:3">
      <c r="B903" s="4" t="s">
        <v>2548</v>
      </c>
      <c r="C903" s="4" t="s">
        <v>2549</v>
      </c>
    </row>
    <row r="904" spans="2:3">
      <c r="B904" s="4" t="s">
        <v>2550</v>
      </c>
      <c r="C904" s="4" t="s">
        <v>2551</v>
      </c>
    </row>
    <row r="905" spans="2:3">
      <c r="B905" s="4" t="s">
        <v>2552</v>
      </c>
      <c r="C905" s="4" t="s">
        <v>2553</v>
      </c>
    </row>
    <row r="906" spans="2:3">
      <c r="B906" s="4" t="s">
        <v>2554</v>
      </c>
      <c r="C906" s="4" t="s">
        <v>2555</v>
      </c>
    </row>
    <row r="907" spans="2:3">
      <c r="B907" s="4" t="s">
        <v>2556</v>
      </c>
      <c r="C907" s="4" t="s">
        <v>1020</v>
      </c>
    </row>
    <row r="908" spans="2:3">
      <c r="B908" s="4" t="s">
        <v>294</v>
      </c>
      <c r="C908" s="4" t="s">
        <v>1021</v>
      </c>
    </row>
    <row r="909" spans="2:3">
      <c r="B909" s="4" t="s">
        <v>2557</v>
      </c>
      <c r="C909" s="4" t="s">
        <v>1022</v>
      </c>
    </row>
    <row r="910" spans="2:3">
      <c r="B910" s="4" t="s">
        <v>2558</v>
      </c>
      <c r="C910" s="4" t="s">
        <v>1023</v>
      </c>
    </row>
    <row r="911" spans="2:3">
      <c r="B911" s="4" t="s">
        <v>296</v>
      </c>
      <c r="C911" s="4" t="s">
        <v>2559</v>
      </c>
    </row>
    <row r="912" spans="2:3">
      <c r="B912" s="4" t="s">
        <v>2560</v>
      </c>
      <c r="C912" s="4" t="s">
        <v>796</v>
      </c>
    </row>
    <row r="913" spans="2:3">
      <c r="B913" s="4" t="s">
        <v>297</v>
      </c>
      <c r="C913" s="4" t="s">
        <v>797</v>
      </c>
    </row>
    <row r="914" spans="2:3">
      <c r="B914" s="4" t="s">
        <v>298</v>
      </c>
      <c r="C914" s="4" t="s">
        <v>2561</v>
      </c>
    </row>
    <row r="915" spans="2:3">
      <c r="B915" s="4" t="s">
        <v>2562</v>
      </c>
      <c r="C915" s="4" t="s">
        <v>2563</v>
      </c>
    </row>
    <row r="916" spans="2:3">
      <c r="B916" s="4" t="s">
        <v>2564</v>
      </c>
      <c r="C916" s="4" t="s">
        <v>2565</v>
      </c>
    </row>
    <row r="917" spans="2:3">
      <c r="B917" s="4" t="s">
        <v>2566</v>
      </c>
      <c r="C917" s="4" t="s">
        <v>2567</v>
      </c>
    </row>
    <row r="918" spans="2:3">
      <c r="B918" s="4" t="s">
        <v>2568</v>
      </c>
      <c r="C918" s="4" t="s">
        <v>2569</v>
      </c>
    </row>
    <row r="919" spans="2:3">
      <c r="B919" s="4" t="s">
        <v>2570</v>
      </c>
      <c r="C919" s="4" t="s">
        <v>2571</v>
      </c>
    </row>
    <row r="920" spans="2:3">
      <c r="B920" s="4" t="s">
        <v>2572</v>
      </c>
      <c r="C920" s="4" t="s">
        <v>2573</v>
      </c>
    </row>
    <row r="921" spans="2:3">
      <c r="B921" s="4" t="s">
        <v>2574</v>
      </c>
      <c r="C921" s="4" t="s">
        <v>2575</v>
      </c>
    </row>
    <row r="922" spans="2:3">
      <c r="B922" s="4" t="s">
        <v>2576</v>
      </c>
      <c r="C922" s="4" t="s">
        <v>2577</v>
      </c>
    </row>
    <row r="923" spans="2:3">
      <c r="B923" s="4" t="s">
        <v>2578</v>
      </c>
      <c r="C923" s="4" t="s">
        <v>2579</v>
      </c>
    </row>
    <row r="924" spans="2:3">
      <c r="B924" s="4" t="s">
        <v>2580</v>
      </c>
      <c r="C924" s="4" t="s">
        <v>2581</v>
      </c>
    </row>
    <row r="925" spans="2:3">
      <c r="B925" s="4" t="s">
        <v>2582</v>
      </c>
      <c r="C925" s="4" t="s">
        <v>2583</v>
      </c>
    </row>
    <row r="926" spans="2:3">
      <c r="B926" s="4" t="s">
        <v>2584</v>
      </c>
      <c r="C926" s="4" t="s">
        <v>2585</v>
      </c>
    </row>
    <row r="927" spans="2:3">
      <c r="B927" s="4" t="s">
        <v>2586</v>
      </c>
      <c r="C927" s="4" t="s">
        <v>2587</v>
      </c>
    </row>
    <row r="928" spans="2:3">
      <c r="B928" s="4" t="s">
        <v>2588</v>
      </c>
      <c r="C928" s="4" t="s">
        <v>2589</v>
      </c>
    </row>
    <row r="929" spans="2:3">
      <c r="B929" s="4" t="s">
        <v>2590</v>
      </c>
      <c r="C929" s="4" t="s">
        <v>2591</v>
      </c>
    </row>
    <row r="930" spans="2:3">
      <c r="B930" s="4" t="s">
        <v>2592</v>
      </c>
      <c r="C930" s="4" t="s">
        <v>2593</v>
      </c>
    </row>
    <row r="931" spans="2:3">
      <c r="B931" s="4" t="s">
        <v>2594</v>
      </c>
      <c r="C931" s="4" t="s">
        <v>2595</v>
      </c>
    </row>
    <row r="932" spans="2:3">
      <c r="B932" s="4" t="s">
        <v>2596</v>
      </c>
      <c r="C932" s="4" t="s">
        <v>2597</v>
      </c>
    </row>
    <row r="933" spans="2:3">
      <c r="B933" s="4" t="s">
        <v>2598</v>
      </c>
      <c r="C933" s="4" t="s">
        <v>2599</v>
      </c>
    </row>
    <row r="934" spans="2:3">
      <c r="B934" s="4" t="s">
        <v>803</v>
      </c>
      <c r="C934" s="4" t="s">
        <v>2600</v>
      </c>
    </row>
    <row r="935" spans="2:3">
      <c r="B935" s="4" t="s">
        <v>2601</v>
      </c>
      <c r="C935" s="4" t="s">
        <v>2602</v>
      </c>
    </row>
    <row r="936" spans="2:3">
      <c r="B936" s="4" t="s">
        <v>2603</v>
      </c>
      <c r="C936" s="4" t="s">
        <v>2604</v>
      </c>
    </row>
    <row r="937" spans="2:3">
      <c r="B937" s="4" t="s">
        <v>2605</v>
      </c>
      <c r="C937" s="4" t="s">
        <v>2606</v>
      </c>
    </row>
    <row r="938" spans="2:3">
      <c r="B938" s="4" t="s">
        <v>2607</v>
      </c>
      <c r="C938" s="4" t="s">
        <v>2608</v>
      </c>
    </row>
    <row r="939" spans="2:3">
      <c r="B939" s="4" t="s">
        <v>931</v>
      </c>
      <c r="C939" s="4" t="s">
        <v>932</v>
      </c>
    </row>
    <row r="940" spans="2:3">
      <c r="B940" s="4" t="s">
        <v>933</v>
      </c>
      <c r="C940" s="4" t="s">
        <v>2609</v>
      </c>
    </row>
    <row r="941" spans="2:3">
      <c r="B941" s="4" t="s">
        <v>934</v>
      </c>
      <c r="C941" s="4" t="s">
        <v>2610</v>
      </c>
    </row>
    <row r="942" spans="2:3">
      <c r="B942" s="4" t="s">
        <v>2611</v>
      </c>
      <c r="C942" s="4" t="s">
        <v>2612</v>
      </c>
    </row>
    <row r="943" spans="2:3">
      <c r="B943" s="4" t="s">
        <v>1024</v>
      </c>
      <c r="C943" s="4" t="s">
        <v>2613</v>
      </c>
    </row>
    <row r="944" spans="2:3">
      <c r="B944" s="4" t="s">
        <v>1025</v>
      </c>
      <c r="C944" s="4" t="s">
        <v>1026</v>
      </c>
    </row>
    <row r="945" spans="2:3">
      <c r="B945" s="4" t="s">
        <v>1027</v>
      </c>
      <c r="C945" s="4" t="s">
        <v>1028</v>
      </c>
    </row>
    <row r="946" spans="2:3">
      <c r="B946" s="4" t="s">
        <v>1029</v>
      </c>
      <c r="C946" s="4" t="s">
        <v>2614</v>
      </c>
    </row>
    <row r="947" spans="2:3">
      <c r="B947" s="4" t="s">
        <v>1030</v>
      </c>
      <c r="C947" s="4" t="s">
        <v>2615</v>
      </c>
    </row>
    <row r="948" spans="2:3">
      <c r="B948" s="4" t="s">
        <v>1279</v>
      </c>
      <c r="C948" s="4" t="s">
        <v>2616</v>
      </c>
    </row>
    <row r="949" spans="2:3">
      <c r="B949" s="4" t="s">
        <v>1280</v>
      </c>
      <c r="C949" s="4" t="s">
        <v>2617</v>
      </c>
    </row>
    <row r="950" spans="2:3">
      <c r="B950" s="4" t="s">
        <v>2618</v>
      </c>
      <c r="C950" s="4" t="s">
        <v>2619</v>
      </c>
    </row>
    <row r="951" spans="2:3">
      <c r="B951" s="4" t="s">
        <v>2620</v>
      </c>
      <c r="C951" s="4" t="s">
        <v>2621</v>
      </c>
    </row>
    <row r="952" spans="2:3">
      <c r="B952" s="4" t="s">
        <v>1281</v>
      </c>
      <c r="C952" s="4" t="s">
        <v>2622</v>
      </c>
    </row>
    <row r="953" spans="2:3">
      <c r="B953" s="4" t="s">
        <v>1282</v>
      </c>
      <c r="C953" s="4" t="s">
        <v>2623</v>
      </c>
    </row>
    <row r="954" spans="2:3">
      <c r="B954" s="4" t="s">
        <v>1283</v>
      </c>
      <c r="C954" s="4" t="s">
        <v>2624</v>
      </c>
    </row>
    <row r="955" spans="2:3">
      <c r="B955" s="4" t="s">
        <v>2625</v>
      </c>
      <c r="C955" s="4" t="s">
        <v>2626</v>
      </c>
    </row>
    <row r="956" spans="2:3">
      <c r="B956" s="4" t="s">
        <v>2627</v>
      </c>
      <c r="C956" s="4" t="s">
        <v>2628</v>
      </c>
    </row>
    <row r="957" spans="2:3">
      <c r="B957" s="4" t="s">
        <v>2629</v>
      </c>
      <c r="C957" s="4" t="s">
        <v>2630</v>
      </c>
    </row>
    <row r="958" spans="2:3">
      <c r="B958" s="4" t="s">
        <v>2631</v>
      </c>
      <c r="C958" s="4" t="s">
        <v>693</v>
      </c>
    </row>
    <row r="959" spans="2:3">
      <c r="B959" s="4" t="s">
        <v>2632</v>
      </c>
      <c r="C959" s="4" t="s">
        <v>2633</v>
      </c>
    </row>
    <row r="960" spans="2:3">
      <c r="B960" s="4" t="s">
        <v>477</v>
      </c>
      <c r="C960" s="4" t="s">
        <v>2634</v>
      </c>
    </row>
    <row r="961" spans="2:3">
      <c r="B961" s="4" t="s">
        <v>2635</v>
      </c>
      <c r="C961" s="4" t="s">
        <v>2636</v>
      </c>
    </row>
    <row r="962" spans="2:3">
      <c r="B962" s="4" t="s">
        <v>2637</v>
      </c>
      <c r="C962" s="4" t="s">
        <v>2638</v>
      </c>
    </row>
    <row r="963" spans="2:3">
      <c r="B963" s="4" t="s">
        <v>2639</v>
      </c>
      <c r="C963" s="4" t="s">
        <v>2640</v>
      </c>
    </row>
    <row r="964" spans="2:3">
      <c r="B964" s="4" t="s">
        <v>2641</v>
      </c>
      <c r="C964" s="4" t="s">
        <v>2642</v>
      </c>
    </row>
    <row r="965" spans="2:3">
      <c r="B965" s="4" t="s">
        <v>478</v>
      </c>
      <c r="C965" s="4" t="s">
        <v>2643</v>
      </c>
    </row>
    <row r="966" spans="2:3">
      <c r="B966" s="4" t="s">
        <v>479</v>
      </c>
      <c r="C966" s="4" t="s">
        <v>2644</v>
      </c>
    </row>
    <row r="967" spans="2:3">
      <c r="B967" s="4" t="s">
        <v>480</v>
      </c>
      <c r="C967" s="4" t="s">
        <v>2645</v>
      </c>
    </row>
    <row r="968" spans="2:3">
      <c r="B968" s="4" t="s">
        <v>481</v>
      </c>
      <c r="C968" s="4" t="s">
        <v>2646</v>
      </c>
    </row>
    <row r="969" spans="2:3">
      <c r="B969" s="4" t="s">
        <v>2647</v>
      </c>
      <c r="C969" s="4" t="s">
        <v>2648</v>
      </c>
    </row>
    <row r="970" spans="2:3">
      <c r="B970" s="4" t="s">
        <v>2649</v>
      </c>
      <c r="C970" s="4" t="s">
        <v>2650</v>
      </c>
    </row>
    <row r="971" spans="2:3">
      <c r="B971" s="4" t="s">
        <v>2651</v>
      </c>
      <c r="C971" s="4" t="s">
        <v>2652</v>
      </c>
    </row>
    <row r="972" spans="2:3">
      <c r="B972" s="4" t="s">
        <v>2653</v>
      </c>
      <c r="C972" s="4" t="s">
        <v>2654</v>
      </c>
    </row>
    <row r="973" spans="2:3">
      <c r="B973" s="4" t="s">
        <v>2655</v>
      </c>
      <c r="C973" s="4" t="s">
        <v>2656</v>
      </c>
    </row>
    <row r="974" spans="2:3">
      <c r="B974" s="4" t="s">
        <v>2657</v>
      </c>
      <c r="C974" s="4" t="s">
        <v>2658</v>
      </c>
    </row>
    <row r="975" spans="2:3">
      <c r="B975" s="4" t="s">
        <v>1066</v>
      </c>
      <c r="C975" s="4" t="s">
        <v>2659</v>
      </c>
    </row>
    <row r="976" spans="2:3">
      <c r="B976" s="4" t="s">
        <v>1284</v>
      </c>
      <c r="C976" s="4" t="s">
        <v>2660</v>
      </c>
    </row>
    <row r="977" spans="2:3">
      <c r="B977" s="4" t="s">
        <v>1285</v>
      </c>
      <c r="C977" s="4" t="s">
        <v>2661</v>
      </c>
    </row>
    <row r="978" spans="2:3">
      <c r="B978" s="4" t="s">
        <v>1286</v>
      </c>
      <c r="C978" s="4" t="s">
        <v>2662</v>
      </c>
    </row>
    <row r="979" spans="2:3">
      <c r="B979" s="4" t="s">
        <v>1287</v>
      </c>
      <c r="C979" s="4" t="s">
        <v>2663</v>
      </c>
    </row>
    <row r="980" spans="2:3">
      <c r="B980" s="4" t="s">
        <v>1288</v>
      </c>
      <c r="C980" s="4" t="s">
        <v>2664</v>
      </c>
    </row>
    <row r="981" spans="2:3">
      <c r="B981" s="4" t="s">
        <v>1289</v>
      </c>
      <c r="C981" s="4" t="s">
        <v>2665</v>
      </c>
    </row>
    <row r="982" spans="2:3">
      <c r="B982" s="4" t="s">
        <v>2666</v>
      </c>
      <c r="C982" s="4" t="s">
        <v>2667</v>
      </c>
    </row>
    <row r="983" spans="2:3">
      <c r="B983" s="4" t="s">
        <v>483</v>
      </c>
      <c r="C983" s="4" t="s">
        <v>2668</v>
      </c>
    </row>
    <row r="984" spans="2:3">
      <c r="B984" s="4" t="s">
        <v>2669</v>
      </c>
      <c r="C984" s="4" t="s">
        <v>2670</v>
      </c>
    </row>
    <row r="985" spans="2:3">
      <c r="B985" s="4" t="s">
        <v>484</v>
      </c>
      <c r="C985" s="4" t="s">
        <v>2671</v>
      </c>
    </row>
    <row r="986" spans="2:3">
      <c r="B986" s="4" t="s">
        <v>485</v>
      </c>
      <c r="C986" s="4" t="s">
        <v>2672</v>
      </c>
    </row>
    <row r="987" spans="2:3">
      <c r="B987" s="4" t="s">
        <v>486</v>
      </c>
      <c r="C987" s="4" t="s">
        <v>2673</v>
      </c>
    </row>
    <row r="988" spans="2:3">
      <c r="B988" s="4" t="s">
        <v>487</v>
      </c>
      <c r="C988" s="4" t="s">
        <v>2674</v>
      </c>
    </row>
    <row r="989" spans="2:3">
      <c r="B989" s="4" t="s">
        <v>249</v>
      </c>
      <c r="C989" s="4" t="s">
        <v>2675</v>
      </c>
    </row>
    <row r="990" spans="2:3">
      <c r="B990" s="4" t="s">
        <v>250</v>
      </c>
      <c r="C990" s="4" t="s">
        <v>2676</v>
      </c>
    </row>
    <row r="991" spans="2:3">
      <c r="B991" s="4" t="s">
        <v>251</v>
      </c>
      <c r="C991" s="4" t="s">
        <v>2677</v>
      </c>
    </row>
    <row r="992" spans="2:3">
      <c r="B992" s="4" t="s">
        <v>252</v>
      </c>
      <c r="C992" s="4" t="s">
        <v>2678</v>
      </c>
    </row>
    <row r="993" spans="2:3">
      <c r="B993" s="4" t="s">
        <v>253</v>
      </c>
      <c r="C993" s="4" t="s">
        <v>2679</v>
      </c>
    </row>
    <row r="994" spans="2:3">
      <c r="B994" s="4" t="s">
        <v>254</v>
      </c>
      <c r="C994" s="4" t="s">
        <v>2680</v>
      </c>
    </row>
    <row r="995" spans="2:3">
      <c r="B995" s="4" t="s">
        <v>255</v>
      </c>
      <c r="C995" s="4" t="s">
        <v>2681</v>
      </c>
    </row>
    <row r="996" spans="2:3">
      <c r="B996" s="4" t="s">
        <v>2682</v>
      </c>
      <c r="C996" s="4" t="s">
        <v>2683</v>
      </c>
    </row>
    <row r="997" spans="2:3">
      <c r="B997" s="4" t="s">
        <v>2684</v>
      </c>
      <c r="C997" s="4" t="s">
        <v>2685</v>
      </c>
    </row>
    <row r="998" spans="2:3">
      <c r="B998" s="4" t="s">
        <v>2686</v>
      </c>
      <c r="C998" s="4" t="s">
        <v>2687</v>
      </c>
    </row>
    <row r="999" spans="2:3">
      <c r="B999" s="4" t="s">
        <v>2688</v>
      </c>
      <c r="C999" s="4" t="s">
        <v>2689</v>
      </c>
    </row>
    <row r="1000" spans="2:3">
      <c r="B1000" s="4" t="s">
        <v>2690</v>
      </c>
      <c r="C1000" s="4" t="s">
        <v>2691</v>
      </c>
    </row>
    <row r="1001" spans="2:3">
      <c r="B1001" s="4" t="s">
        <v>685</v>
      </c>
      <c r="C1001" s="4" t="s">
        <v>2692</v>
      </c>
    </row>
    <row r="1002" spans="2:3">
      <c r="B1002" s="4" t="s">
        <v>2693</v>
      </c>
      <c r="C1002" s="4" t="s">
        <v>2694</v>
      </c>
    </row>
    <row r="1003" spans="2:3">
      <c r="B1003" s="4" t="s">
        <v>2695</v>
      </c>
      <c r="C1003" s="4" t="s">
        <v>2696</v>
      </c>
    </row>
    <row r="1004" spans="2:3">
      <c r="B1004" s="4" t="s">
        <v>2697</v>
      </c>
      <c r="C1004" s="4" t="s">
        <v>2698</v>
      </c>
    </row>
    <row r="1005" spans="2:3">
      <c r="B1005" s="4" t="s">
        <v>2699</v>
      </c>
      <c r="C1005" s="4" t="s">
        <v>2700</v>
      </c>
    </row>
    <row r="1006" spans="2:3">
      <c r="B1006" s="4" t="s">
        <v>2699</v>
      </c>
      <c r="C1006" s="4" t="s">
        <v>2701</v>
      </c>
    </row>
    <row r="1007" spans="2:3">
      <c r="B1007" s="4" t="s">
        <v>2702</v>
      </c>
      <c r="C1007" s="4" t="s">
        <v>2703</v>
      </c>
    </row>
    <row r="1008" spans="2:3">
      <c r="B1008" s="4" t="s">
        <v>2704</v>
      </c>
      <c r="C1008" s="4" t="s">
        <v>2705</v>
      </c>
    </row>
    <row r="1009" spans="2:3">
      <c r="B1009" s="4" t="s">
        <v>2706</v>
      </c>
      <c r="C1009" s="4" t="s">
        <v>2707</v>
      </c>
    </row>
    <row r="1010" spans="2:3">
      <c r="B1010" s="4" t="s">
        <v>2708</v>
      </c>
      <c r="C1010" s="4" t="s">
        <v>2709</v>
      </c>
    </row>
    <row r="1011" spans="2:3">
      <c r="B1011" s="4" t="s">
        <v>2710</v>
      </c>
      <c r="C1011" s="4" t="s">
        <v>2711</v>
      </c>
    </row>
    <row r="1012" spans="2:3">
      <c r="B1012" s="4" t="s">
        <v>2712</v>
      </c>
      <c r="C1012" s="4" t="s">
        <v>2713</v>
      </c>
    </row>
    <row r="1013" spans="2:3">
      <c r="B1013" s="4" t="s">
        <v>2714</v>
      </c>
      <c r="C1013" s="4" t="s">
        <v>2715</v>
      </c>
    </row>
    <row r="1014" spans="2:3">
      <c r="B1014" s="4" t="s">
        <v>2716</v>
      </c>
      <c r="C1014" s="4" t="s">
        <v>2717</v>
      </c>
    </row>
    <row r="1015" spans="2:3">
      <c r="B1015" s="4" t="s">
        <v>804</v>
      </c>
      <c r="C1015" s="4" t="s">
        <v>2718</v>
      </c>
    </row>
    <row r="1016" spans="2:3">
      <c r="B1016" s="4" t="s">
        <v>805</v>
      </c>
      <c r="C1016" s="4" t="s">
        <v>2719</v>
      </c>
    </row>
    <row r="1017" spans="2:3">
      <c r="B1017" s="4" t="s">
        <v>2720</v>
      </c>
      <c r="C1017" s="4" t="s">
        <v>2721</v>
      </c>
    </row>
    <row r="1018" spans="2:3">
      <c r="B1018" s="4" t="s">
        <v>903</v>
      </c>
      <c r="C1018" s="4" t="s">
        <v>2722</v>
      </c>
    </row>
    <row r="1019" spans="2:3">
      <c r="B1019" s="4" t="s">
        <v>2723</v>
      </c>
      <c r="C1019" s="4" t="s">
        <v>2724</v>
      </c>
    </row>
    <row r="1020" spans="2:3">
      <c r="B1020" s="4" t="s">
        <v>190</v>
      </c>
      <c r="C1020" s="4" t="s">
        <v>2725</v>
      </c>
    </row>
    <row r="1021" spans="2:3">
      <c r="B1021" s="4" t="s">
        <v>191</v>
      </c>
      <c r="C1021" s="4" t="s">
        <v>2726</v>
      </c>
    </row>
    <row r="1022" spans="2:3">
      <c r="B1022" s="4" t="s">
        <v>192</v>
      </c>
      <c r="C1022" s="4" t="s">
        <v>2727</v>
      </c>
    </row>
    <row r="1023" spans="2:3">
      <c r="B1023" s="4" t="s">
        <v>193</v>
      </c>
      <c r="C1023" s="4" t="s">
        <v>2728</v>
      </c>
    </row>
    <row r="1024" spans="2:3">
      <c r="B1024" s="4" t="s">
        <v>194</v>
      </c>
      <c r="C1024" s="4" t="s">
        <v>2729</v>
      </c>
    </row>
    <row r="1025" spans="2:3">
      <c r="B1025" s="4" t="s">
        <v>195</v>
      </c>
      <c r="C1025" s="4" t="s">
        <v>2730</v>
      </c>
    </row>
    <row r="1026" spans="2:3">
      <c r="B1026" s="4" t="s">
        <v>196</v>
      </c>
      <c r="C1026" s="4" t="s">
        <v>2731</v>
      </c>
    </row>
    <row r="1027" spans="2:3">
      <c r="B1027" s="4" t="s">
        <v>0</v>
      </c>
      <c r="C1027" s="4" t="s">
        <v>2732</v>
      </c>
    </row>
    <row r="1028" spans="2:3">
      <c r="B1028" s="4" t="s">
        <v>2733</v>
      </c>
      <c r="C1028" s="4" t="s">
        <v>2734</v>
      </c>
    </row>
    <row r="1029" spans="2:3">
      <c r="B1029" s="4" t="s">
        <v>2735</v>
      </c>
      <c r="C1029" s="4" t="s">
        <v>2736</v>
      </c>
    </row>
    <row r="1030" spans="2:3">
      <c r="B1030" s="4" t="s">
        <v>2737</v>
      </c>
      <c r="C1030" s="4" t="s">
        <v>2738</v>
      </c>
    </row>
    <row r="1031" spans="2:3">
      <c r="B1031" s="4" t="s">
        <v>2739</v>
      </c>
      <c r="C1031" s="4" t="s">
        <v>2740</v>
      </c>
    </row>
    <row r="1032" spans="2:3">
      <c r="B1032" s="4" t="s">
        <v>2741</v>
      </c>
      <c r="C1032" s="4" t="s">
        <v>2742</v>
      </c>
    </row>
    <row r="1033" spans="2:3">
      <c r="B1033" s="4" t="s">
        <v>2743</v>
      </c>
      <c r="C1033" s="4" t="s">
        <v>2744</v>
      </c>
    </row>
    <row r="1034" spans="2:3">
      <c r="B1034" s="4" t="s">
        <v>2745</v>
      </c>
      <c r="C1034" s="4" t="s">
        <v>2746</v>
      </c>
    </row>
    <row r="1035" spans="2:3">
      <c r="B1035" s="4" t="s">
        <v>2747</v>
      </c>
      <c r="C1035" s="4" t="s">
        <v>2748</v>
      </c>
    </row>
    <row r="1036" spans="2:3">
      <c r="B1036" s="4" t="s">
        <v>2749</v>
      </c>
      <c r="C1036" s="4" t="s">
        <v>2750</v>
      </c>
    </row>
    <row r="1037" spans="2:3">
      <c r="B1037" s="4" t="s">
        <v>2751</v>
      </c>
      <c r="C1037" s="4" t="s">
        <v>2752</v>
      </c>
    </row>
    <row r="1038" spans="2:3">
      <c r="B1038" s="4" t="s">
        <v>2753</v>
      </c>
      <c r="C1038" s="4" t="s">
        <v>2754</v>
      </c>
    </row>
    <row r="1039" spans="2:3">
      <c r="B1039" s="4" t="s">
        <v>867</v>
      </c>
      <c r="C1039" s="4" t="s">
        <v>2755</v>
      </c>
    </row>
    <row r="1040" spans="2:3">
      <c r="B1040" s="4" t="s">
        <v>2756</v>
      </c>
      <c r="C1040" s="4" t="s">
        <v>2757</v>
      </c>
    </row>
    <row r="1041" spans="2:3">
      <c r="B1041" s="4" t="s">
        <v>2758</v>
      </c>
      <c r="C1041" s="4" t="s">
        <v>2759</v>
      </c>
    </row>
    <row r="1042" spans="2:3">
      <c r="B1042" s="4" t="s">
        <v>2760</v>
      </c>
      <c r="C1042" s="4" t="s">
        <v>694</v>
      </c>
    </row>
    <row r="1043" spans="2:3">
      <c r="B1043" s="4" t="s">
        <v>105</v>
      </c>
      <c r="C1043" s="4" t="s">
        <v>695</v>
      </c>
    </row>
    <row r="1044" spans="2:3">
      <c r="B1044" s="4" t="s">
        <v>106</v>
      </c>
      <c r="C1044" s="4" t="s">
        <v>696</v>
      </c>
    </row>
    <row r="1045" spans="2:3">
      <c r="B1045" s="4" t="s">
        <v>107</v>
      </c>
      <c r="C1045" s="4" t="s">
        <v>697</v>
      </c>
    </row>
    <row r="1046" spans="2:3">
      <c r="B1046" s="4" t="s">
        <v>108</v>
      </c>
      <c r="C1046" s="4" t="s">
        <v>2761</v>
      </c>
    </row>
    <row r="1047" spans="2:3">
      <c r="B1047" s="4" t="s">
        <v>109</v>
      </c>
      <c r="C1047" s="4" t="s">
        <v>2762</v>
      </c>
    </row>
    <row r="1048" spans="2:3">
      <c r="B1048" s="4" t="s">
        <v>110</v>
      </c>
      <c r="C1048" s="4" t="s">
        <v>2763</v>
      </c>
    </row>
    <row r="1049" spans="2:3">
      <c r="B1049" s="4" t="s">
        <v>111</v>
      </c>
      <c r="C1049" s="4" t="s">
        <v>2764</v>
      </c>
    </row>
    <row r="1050" spans="2:3">
      <c r="B1050" s="4" t="s">
        <v>112</v>
      </c>
      <c r="C1050" s="4" t="s">
        <v>2765</v>
      </c>
    </row>
    <row r="1051" spans="2:3">
      <c r="B1051" s="4" t="s">
        <v>113</v>
      </c>
      <c r="C1051" s="4" t="s">
        <v>2766</v>
      </c>
    </row>
    <row r="1052" spans="2:3">
      <c r="B1052" s="4" t="s">
        <v>114</v>
      </c>
      <c r="C1052" s="4" t="s">
        <v>2767</v>
      </c>
    </row>
    <row r="1053" spans="2:3">
      <c r="B1053" s="4" t="s">
        <v>115</v>
      </c>
      <c r="C1053" s="4" t="s">
        <v>2768</v>
      </c>
    </row>
    <row r="1054" spans="2:3">
      <c r="B1054" s="4" t="s">
        <v>2769</v>
      </c>
      <c r="C1054" s="4" t="s">
        <v>2770</v>
      </c>
    </row>
    <row r="1055" spans="2:3">
      <c r="B1055" s="4" t="s">
        <v>116</v>
      </c>
      <c r="C1055" s="4" t="s">
        <v>2771</v>
      </c>
    </row>
    <row r="1056" spans="2:3">
      <c r="B1056" s="4" t="s">
        <v>117</v>
      </c>
      <c r="C1056" s="4" t="s">
        <v>2772</v>
      </c>
    </row>
    <row r="1057" spans="2:3">
      <c r="B1057" s="4" t="s">
        <v>2773</v>
      </c>
      <c r="C1057" s="4" t="s">
        <v>2774</v>
      </c>
    </row>
    <row r="1058" spans="2:3">
      <c r="B1058" s="4" t="s">
        <v>2775</v>
      </c>
      <c r="C1058" s="4" t="s">
        <v>2776</v>
      </c>
    </row>
    <row r="1059" spans="2:3">
      <c r="B1059" s="4" t="s">
        <v>2777</v>
      </c>
      <c r="C1059" s="4" t="s">
        <v>2778</v>
      </c>
    </row>
    <row r="1060" spans="2:3">
      <c r="B1060" s="4" t="s">
        <v>2779</v>
      </c>
      <c r="C1060" s="4" t="s">
        <v>2780</v>
      </c>
    </row>
    <row r="1061" spans="2:3">
      <c r="B1061" s="4" t="s">
        <v>2781</v>
      </c>
      <c r="C1061" s="4" t="s">
        <v>2782</v>
      </c>
    </row>
    <row r="1062" spans="2:3">
      <c r="B1062" s="4" t="s">
        <v>119</v>
      </c>
      <c r="C1062" s="4" t="s">
        <v>2783</v>
      </c>
    </row>
    <row r="1063" spans="2:3">
      <c r="B1063" s="4" t="s">
        <v>120</v>
      </c>
      <c r="C1063" s="4" t="s">
        <v>2784</v>
      </c>
    </row>
    <row r="1064" spans="2:3">
      <c r="B1064" s="4" t="s">
        <v>121</v>
      </c>
      <c r="C1064" s="4" t="s">
        <v>2785</v>
      </c>
    </row>
    <row r="1065" spans="2:3">
      <c r="B1065" s="4" t="s">
        <v>122</v>
      </c>
      <c r="C1065" s="4" t="s">
        <v>2786</v>
      </c>
    </row>
    <row r="1066" spans="2:3">
      <c r="B1066" s="4" t="s">
        <v>123</v>
      </c>
      <c r="C1066" s="4" t="s">
        <v>2787</v>
      </c>
    </row>
    <row r="1067" spans="2:3">
      <c r="B1067" s="4" t="s">
        <v>124</v>
      </c>
      <c r="C1067" s="4" t="s">
        <v>2788</v>
      </c>
    </row>
    <row r="1068" spans="2:3">
      <c r="B1068" s="4" t="s">
        <v>700</v>
      </c>
      <c r="C1068" s="4" t="s">
        <v>2789</v>
      </c>
    </row>
    <row r="1069" spans="2:3">
      <c r="B1069" s="4" t="s">
        <v>701</v>
      </c>
      <c r="C1069" s="4" t="s">
        <v>2790</v>
      </c>
    </row>
    <row r="1070" spans="2:3">
      <c r="B1070" s="4" t="s">
        <v>702</v>
      </c>
      <c r="C1070" s="4" t="s">
        <v>2791</v>
      </c>
    </row>
    <row r="1071" spans="2:3">
      <c r="B1071" s="4" t="s">
        <v>773</v>
      </c>
      <c r="C1071" s="4" t="s">
        <v>2792</v>
      </c>
    </row>
    <row r="1072" spans="2:3">
      <c r="B1072" s="4" t="s">
        <v>2793</v>
      </c>
      <c r="C1072" s="4" t="s">
        <v>2794</v>
      </c>
    </row>
    <row r="1073" spans="2:3">
      <c r="B1073" s="4" t="s">
        <v>2795</v>
      </c>
      <c r="C1073" s="4" t="s">
        <v>2796</v>
      </c>
    </row>
    <row r="1074" spans="2:3">
      <c r="B1074" s="4" t="s">
        <v>2797</v>
      </c>
      <c r="C1074" s="4" t="s">
        <v>2798</v>
      </c>
    </row>
    <row r="1075" spans="2:3">
      <c r="B1075" s="4" t="s">
        <v>2799</v>
      </c>
      <c r="C1075" s="4" t="s">
        <v>2800</v>
      </c>
    </row>
    <row r="1076" spans="2:3">
      <c r="B1076" s="4" t="s">
        <v>2801</v>
      </c>
      <c r="C1076" s="4" t="s">
        <v>1032</v>
      </c>
    </row>
    <row r="1077" spans="2:3">
      <c r="B1077" s="4" t="s">
        <v>936</v>
      </c>
      <c r="C1077" s="4" t="s">
        <v>2802</v>
      </c>
    </row>
    <row r="1078" spans="2:3">
      <c r="B1078" s="4" t="s">
        <v>2803</v>
      </c>
      <c r="C1078" s="4" t="s">
        <v>2804</v>
      </c>
    </row>
    <row r="1079" spans="2:3">
      <c r="B1079" s="4" t="s">
        <v>125</v>
      </c>
      <c r="C1079" s="4" t="s">
        <v>2805</v>
      </c>
    </row>
    <row r="1080" spans="2:3">
      <c r="B1080" s="4" t="s">
        <v>126</v>
      </c>
      <c r="C1080" s="4" t="s">
        <v>2806</v>
      </c>
    </row>
    <row r="1081" spans="2:3">
      <c r="B1081" s="4" t="s">
        <v>127</v>
      </c>
      <c r="C1081" s="4" t="s">
        <v>2807</v>
      </c>
    </row>
    <row r="1082" spans="2:3">
      <c r="B1082" s="4" t="s">
        <v>2808</v>
      </c>
      <c r="C1082" s="4" t="s">
        <v>2809</v>
      </c>
    </row>
    <row r="1083" spans="2:3">
      <c r="B1083" s="4" t="s">
        <v>2810</v>
      </c>
      <c r="C1083" s="4" t="s">
        <v>1342</v>
      </c>
    </row>
    <row r="1084" spans="2:3">
      <c r="B1084" s="4" t="s">
        <v>128</v>
      </c>
      <c r="C1084" s="4" t="s">
        <v>2811</v>
      </c>
    </row>
    <row r="1085" spans="2:3">
      <c r="B1085" s="4" t="s">
        <v>129</v>
      </c>
      <c r="C1085" s="4" t="s">
        <v>2812</v>
      </c>
    </row>
    <row r="1086" spans="2:3">
      <c r="B1086" s="4" t="s">
        <v>130</v>
      </c>
      <c r="C1086" s="4" t="s">
        <v>2813</v>
      </c>
    </row>
    <row r="1087" spans="2:3">
      <c r="B1087" s="4" t="s">
        <v>131</v>
      </c>
      <c r="C1087" s="4" t="s">
        <v>2814</v>
      </c>
    </row>
    <row r="1088" spans="2:3">
      <c r="B1088" s="4" t="s">
        <v>132</v>
      </c>
      <c r="C1088" s="4" t="s">
        <v>2815</v>
      </c>
    </row>
    <row r="1089" spans="2:3">
      <c r="B1089" s="4" t="s">
        <v>2816</v>
      </c>
      <c r="C1089" s="4" t="s">
        <v>2817</v>
      </c>
    </row>
    <row r="1090" spans="2:3">
      <c r="B1090" s="4" t="s">
        <v>134</v>
      </c>
      <c r="C1090" s="4" t="s">
        <v>2818</v>
      </c>
    </row>
    <row r="1091" spans="2:3">
      <c r="B1091" s="4" t="s">
        <v>135</v>
      </c>
      <c r="C1091" s="4" t="s">
        <v>2819</v>
      </c>
    </row>
    <row r="1092" spans="2:3">
      <c r="B1092" s="4" t="s">
        <v>136</v>
      </c>
      <c r="C1092" s="4" t="s">
        <v>2820</v>
      </c>
    </row>
    <row r="1093" spans="2:3">
      <c r="B1093" s="4" t="s">
        <v>137</v>
      </c>
      <c r="C1093" s="4" t="s">
        <v>2821</v>
      </c>
    </row>
    <row r="1094" spans="2:3">
      <c r="B1094" s="4" t="s">
        <v>329</v>
      </c>
      <c r="C1094" s="4" t="s">
        <v>2822</v>
      </c>
    </row>
    <row r="1095" spans="2:3">
      <c r="B1095" s="4" t="s">
        <v>331</v>
      </c>
      <c r="C1095" s="4" t="s">
        <v>2823</v>
      </c>
    </row>
    <row r="1096" spans="2:3">
      <c r="B1096" s="4" t="s">
        <v>332</v>
      </c>
      <c r="C1096" s="4" t="s">
        <v>2824</v>
      </c>
    </row>
    <row r="1097" spans="2:3">
      <c r="B1097" s="4" t="s">
        <v>2825</v>
      </c>
      <c r="C1097" s="4" t="s">
        <v>2826</v>
      </c>
    </row>
    <row r="1098" spans="2:3">
      <c r="B1098" s="4" t="s">
        <v>334</v>
      </c>
      <c r="C1098" s="4" t="s">
        <v>2827</v>
      </c>
    </row>
    <row r="1099" spans="2:3">
      <c r="B1099" s="4" t="s">
        <v>335</v>
      </c>
      <c r="C1099" s="4" t="s">
        <v>2828</v>
      </c>
    </row>
    <row r="1100" spans="2:3">
      <c r="B1100" s="4" t="s">
        <v>21</v>
      </c>
      <c r="C1100" s="4" t="s">
        <v>2829</v>
      </c>
    </row>
    <row r="1101" spans="2:3">
      <c r="B1101" s="4" t="s">
        <v>2830</v>
      </c>
      <c r="C1101" s="4" t="s">
        <v>2831</v>
      </c>
    </row>
    <row r="1102" spans="2:3">
      <c r="B1102" s="4" t="s">
        <v>2832</v>
      </c>
      <c r="C1102" s="4" t="s">
        <v>2833</v>
      </c>
    </row>
    <row r="1103" spans="2:3">
      <c r="B1103" s="4" t="s">
        <v>23</v>
      </c>
      <c r="C1103" s="4" t="s">
        <v>2834</v>
      </c>
    </row>
    <row r="1104" spans="2:3">
      <c r="B1104" s="4" t="s">
        <v>2835</v>
      </c>
      <c r="C1104" s="4" t="s">
        <v>950</v>
      </c>
    </row>
    <row r="1105" spans="2:3">
      <c r="B1105" s="4" t="s">
        <v>2836</v>
      </c>
      <c r="C1105" s="4" t="s">
        <v>2837</v>
      </c>
    </row>
    <row r="1106" spans="2:3">
      <c r="B1106" s="4" t="s">
        <v>24</v>
      </c>
      <c r="C1106" s="4" t="s">
        <v>2838</v>
      </c>
    </row>
    <row r="1107" spans="2:3">
      <c r="B1107" s="4" t="s">
        <v>2839</v>
      </c>
      <c r="C1107" s="4" t="s">
        <v>2840</v>
      </c>
    </row>
    <row r="1108" spans="2:3">
      <c r="B1108" s="4" t="s">
        <v>627</v>
      </c>
      <c r="C1108" s="4" t="s">
        <v>2841</v>
      </c>
    </row>
    <row r="1109" spans="2:3">
      <c r="B1109" s="4" t="s">
        <v>628</v>
      </c>
      <c r="C1109" s="4" t="s">
        <v>2842</v>
      </c>
    </row>
    <row r="1110" spans="2:3">
      <c r="B1110" s="4" t="s">
        <v>629</v>
      </c>
      <c r="C1110" s="4" t="s">
        <v>2843</v>
      </c>
    </row>
    <row r="1111" spans="2:3">
      <c r="B1111" s="4" t="s">
        <v>2844</v>
      </c>
      <c r="C1111" s="4" t="s">
        <v>2845</v>
      </c>
    </row>
    <row r="1112" spans="2:3">
      <c r="B1112" s="4" t="s">
        <v>631</v>
      </c>
      <c r="C1112" s="4" t="s">
        <v>2846</v>
      </c>
    </row>
    <row r="1113" spans="2:3">
      <c r="B1113" s="4" t="s">
        <v>632</v>
      </c>
      <c r="C1113" s="4" t="s">
        <v>2847</v>
      </c>
    </row>
    <row r="1114" spans="2:3">
      <c r="B1114" s="4" t="s">
        <v>633</v>
      </c>
      <c r="C1114" s="4" t="s">
        <v>2848</v>
      </c>
    </row>
    <row r="1115" spans="2:3">
      <c r="B1115" s="4" t="s">
        <v>634</v>
      </c>
      <c r="C1115" s="4" t="s">
        <v>2849</v>
      </c>
    </row>
    <row r="1116" spans="2:3">
      <c r="B1116" s="4" t="s">
        <v>635</v>
      </c>
      <c r="C1116" s="4" t="s">
        <v>2850</v>
      </c>
    </row>
    <row r="1117" spans="2:3">
      <c r="B1117" s="4" t="s">
        <v>636</v>
      </c>
      <c r="C1117" s="4" t="s">
        <v>2851</v>
      </c>
    </row>
    <row r="1118" spans="2:3">
      <c r="B1118" s="4" t="s">
        <v>637</v>
      </c>
      <c r="C1118" s="4" t="s">
        <v>2852</v>
      </c>
    </row>
    <row r="1119" spans="2:3">
      <c r="B1119" s="4" t="s">
        <v>638</v>
      </c>
      <c r="C1119" s="4" t="s">
        <v>2853</v>
      </c>
    </row>
    <row r="1120" spans="2:3">
      <c r="B1120" s="4" t="s">
        <v>2854</v>
      </c>
      <c r="C1120" s="4" t="s">
        <v>2855</v>
      </c>
    </row>
    <row r="1121" spans="2:3">
      <c r="B1121" s="4" t="s">
        <v>2856</v>
      </c>
      <c r="C1121" s="4" t="s">
        <v>2857</v>
      </c>
    </row>
    <row r="1122" spans="2:3">
      <c r="B1122" s="4" t="s">
        <v>2858</v>
      </c>
      <c r="C1122" s="4" t="s">
        <v>2859</v>
      </c>
    </row>
    <row r="1123" spans="2:3">
      <c r="B1123" s="4" t="s">
        <v>425</v>
      </c>
      <c r="C1123" s="4" t="s">
        <v>2860</v>
      </c>
    </row>
    <row r="1124" spans="2:3">
      <c r="B1124" s="4" t="s">
        <v>426</v>
      </c>
      <c r="C1124" s="4" t="s">
        <v>2861</v>
      </c>
    </row>
    <row r="1125" spans="2:3">
      <c r="B1125" s="4" t="s">
        <v>427</v>
      </c>
      <c r="C1125" s="4" t="s">
        <v>2862</v>
      </c>
    </row>
    <row r="1126" spans="2:3">
      <c r="B1126" s="4" t="s">
        <v>428</v>
      </c>
      <c r="C1126" s="4" t="s">
        <v>2863</v>
      </c>
    </row>
    <row r="1127" spans="2:3">
      <c r="B1127" s="4" t="s">
        <v>429</v>
      </c>
      <c r="C1127" s="4" t="s">
        <v>2864</v>
      </c>
    </row>
    <row r="1128" spans="2:3">
      <c r="B1128" s="4" t="s">
        <v>648</v>
      </c>
      <c r="C1128" s="4" t="s">
        <v>2865</v>
      </c>
    </row>
    <row r="1129" spans="2:3">
      <c r="B1129" s="4" t="s">
        <v>649</v>
      </c>
      <c r="C1129" s="4" t="s">
        <v>2866</v>
      </c>
    </row>
    <row r="1130" spans="2:3">
      <c r="B1130" s="4" t="s">
        <v>2867</v>
      </c>
      <c r="C1130" s="4" t="s">
        <v>2868</v>
      </c>
    </row>
    <row r="1131" spans="2:3">
      <c r="B1131" s="4" t="s">
        <v>651</v>
      </c>
      <c r="C1131" s="4" t="s">
        <v>2869</v>
      </c>
    </row>
    <row r="1132" spans="2:3">
      <c r="B1132" s="4" t="s">
        <v>652</v>
      </c>
      <c r="C1132" s="4" t="s">
        <v>2870</v>
      </c>
    </row>
    <row r="1133" spans="2:3">
      <c r="B1133" s="4" t="s">
        <v>545</v>
      </c>
      <c r="C1133" s="4" t="s">
        <v>2871</v>
      </c>
    </row>
    <row r="1134" spans="2:3">
      <c r="B1134" s="4" t="s">
        <v>388</v>
      </c>
      <c r="C1134" s="4" t="s">
        <v>2872</v>
      </c>
    </row>
    <row r="1135" spans="2:3">
      <c r="B1135" s="4" t="s">
        <v>389</v>
      </c>
      <c r="C1135" s="4" t="s">
        <v>2873</v>
      </c>
    </row>
    <row r="1136" spans="2:3">
      <c r="B1136" s="4" t="s">
        <v>390</v>
      </c>
      <c r="C1136" s="4" t="s">
        <v>2874</v>
      </c>
    </row>
    <row r="1137" spans="2:3">
      <c r="B1137" s="4" t="s">
        <v>391</v>
      </c>
      <c r="C1137" s="4" t="s">
        <v>2875</v>
      </c>
    </row>
    <row r="1138" spans="2:3">
      <c r="B1138" s="4" t="s">
        <v>392</v>
      </c>
      <c r="C1138" s="4" t="s">
        <v>2876</v>
      </c>
    </row>
    <row r="1139" spans="2:3">
      <c r="B1139" s="4" t="s">
        <v>393</v>
      </c>
      <c r="C1139" s="4" t="s">
        <v>2877</v>
      </c>
    </row>
    <row r="1140" spans="2:3">
      <c r="B1140" s="4" t="s">
        <v>395</v>
      </c>
      <c r="C1140" s="4" t="s">
        <v>2878</v>
      </c>
    </row>
    <row r="1141" spans="2:3">
      <c r="B1141" s="4" t="s">
        <v>396</v>
      </c>
      <c r="C1141" s="4" t="s">
        <v>2879</v>
      </c>
    </row>
    <row r="1142" spans="2:3">
      <c r="B1142" s="4" t="s">
        <v>397</v>
      </c>
      <c r="C1142" s="4" t="s">
        <v>2880</v>
      </c>
    </row>
    <row r="1143" spans="2:3">
      <c r="B1143" s="4" t="s">
        <v>398</v>
      </c>
      <c r="C1143" s="4" t="s">
        <v>2881</v>
      </c>
    </row>
    <row r="1144" spans="2:3">
      <c r="B1144" s="4" t="s">
        <v>399</v>
      </c>
      <c r="C1144" s="4" t="s">
        <v>2882</v>
      </c>
    </row>
    <row r="1145" spans="2:3">
      <c r="B1145" s="4" t="s">
        <v>400</v>
      </c>
      <c r="C1145" s="4" t="s">
        <v>2883</v>
      </c>
    </row>
    <row r="1146" spans="2:3">
      <c r="B1146" s="4" t="s">
        <v>401</v>
      </c>
      <c r="C1146" s="4" t="s">
        <v>2884</v>
      </c>
    </row>
    <row r="1147" spans="2:3">
      <c r="B1147" s="4" t="s">
        <v>402</v>
      </c>
      <c r="C1147" s="4" t="s">
        <v>2885</v>
      </c>
    </row>
    <row r="1148" spans="2:3">
      <c r="B1148" s="4" t="s">
        <v>403</v>
      </c>
      <c r="C1148" s="4" t="s">
        <v>2886</v>
      </c>
    </row>
    <row r="1149" spans="2:3">
      <c r="B1149" s="4" t="s">
        <v>404</v>
      </c>
      <c r="C1149" s="4" t="s">
        <v>2887</v>
      </c>
    </row>
    <row r="1150" spans="2:3">
      <c r="B1150" s="4" t="s">
        <v>405</v>
      </c>
      <c r="C1150" s="4" t="s">
        <v>2888</v>
      </c>
    </row>
    <row r="1151" spans="2:3">
      <c r="B1151" s="4" t="s">
        <v>406</v>
      </c>
      <c r="C1151" s="4" t="s">
        <v>2889</v>
      </c>
    </row>
    <row r="1152" spans="2:3">
      <c r="B1152" s="4" t="s">
        <v>407</v>
      </c>
      <c r="C1152" s="4" t="s">
        <v>2890</v>
      </c>
    </row>
    <row r="1153" spans="2:3">
      <c r="B1153" s="4" t="s">
        <v>198</v>
      </c>
      <c r="C1153" s="4" t="s">
        <v>2891</v>
      </c>
    </row>
    <row r="1154" spans="2:3">
      <c r="B1154" s="4" t="s">
        <v>199</v>
      </c>
      <c r="C1154" s="4" t="s">
        <v>2892</v>
      </c>
    </row>
    <row r="1155" spans="2:3">
      <c r="B1155" s="4" t="s">
        <v>28</v>
      </c>
      <c r="C1155" s="4" t="s">
        <v>2893</v>
      </c>
    </row>
    <row r="1156" spans="2:3">
      <c r="B1156" s="4" t="s">
        <v>29</v>
      </c>
      <c r="C1156" s="4" t="s">
        <v>2894</v>
      </c>
    </row>
    <row r="1157" spans="2:3">
      <c r="B1157" s="4" t="s">
        <v>336</v>
      </c>
      <c r="C1157" s="4" t="s">
        <v>2895</v>
      </c>
    </row>
    <row r="1158" spans="2:3">
      <c r="B1158" s="4" t="s">
        <v>337</v>
      </c>
      <c r="C1158" s="4" t="s">
        <v>2896</v>
      </c>
    </row>
    <row r="1159" spans="2:3">
      <c r="B1159" s="4" t="s">
        <v>338</v>
      </c>
      <c r="C1159" s="4" t="s">
        <v>2897</v>
      </c>
    </row>
    <row r="1160" spans="2:3">
      <c r="B1160" s="4" t="s">
        <v>339</v>
      </c>
      <c r="C1160" s="4" t="s">
        <v>2898</v>
      </c>
    </row>
    <row r="1161" spans="2:3">
      <c r="B1161" s="4" t="s">
        <v>340</v>
      </c>
      <c r="C1161" s="4" t="s">
        <v>2899</v>
      </c>
    </row>
    <row r="1162" spans="2:3">
      <c r="B1162" s="4" t="s">
        <v>341</v>
      </c>
      <c r="C1162" s="4" t="s">
        <v>2900</v>
      </c>
    </row>
    <row r="1163" spans="2:3">
      <c r="B1163" s="4" t="s">
        <v>342</v>
      </c>
      <c r="C1163" s="4" t="s">
        <v>2901</v>
      </c>
    </row>
    <row r="1164" spans="2:3">
      <c r="B1164" s="4" t="s">
        <v>343</v>
      </c>
      <c r="C1164" s="4" t="s">
        <v>2902</v>
      </c>
    </row>
    <row r="1165" spans="2:3">
      <c r="B1165" s="4" t="s">
        <v>344</v>
      </c>
      <c r="C1165" s="4" t="s">
        <v>2903</v>
      </c>
    </row>
    <row r="1166" spans="2:3">
      <c r="B1166" s="4" t="s">
        <v>345</v>
      </c>
      <c r="C1166" s="4" t="s">
        <v>2904</v>
      </c>
    </row>
    <row r="1167" spans="2:3">
      <c r="B1167" s="4" t="s">
        <v>346</v>
      </c>
      <c r="C1167" s="4" t="s">
        <v>2905</v>
      </c>
    </row>
    <row r="1168" spans="2:3">
      <c r="B1168" s="4" t="s">
        <v>347</v>
      </c>
      <c r="C1168" s="4" t="s">
        <v>2906</v>
      </c>
    </row>
    <row r="1169" spans="2:3">
      <c r="B1169" s="4" t="s">
        <v>348</v>
      </c>
      <c r="C1169" s="4" t="s">
        <v>2907</v>
      </c>
    </row>
    <row r="1170" spans="2:3">
      <c r="B1170" s="4" t="s">
        <v>349</v>
      </c>
      <c r="C1170" s="4" t="s">
        <v>2908</v>
      </c>
    </row>
    <row r="1171" spans="2:3">
      <c r="B1171" s="4" t="s">
        <v>351</v>
      </c>
      <c r="C1171" s="4" t="s">
        <v>2909</v>
      </c>
    </row>
    <row r="1172" spans="2:3">
      <c r="B1172" s="4" t="s">
        <v>352</v>
      </c>
      <c r="C1172" s="4" t="s">
        <v>2910</v>
      </c>
    </row>
    <row r="1173" spans="2:3">
      <c r="B1173" s="4" t="s">
        <v>353</v>
      </c>
      <c r="C1173" s="4" t="s">
        <v>2911</v>
      </c>
    </row>
    <row r="1174" spans="2:3">
      <c r="B1174" s="4" t="s">
        <v>354</v>
      </c>
      <c r="C1174" s="4" t="s">
        <v>2912</v>
      </c>
    </row>
    <row r="1175" spans="2:3">
      <c r="B1175" s="4" t="s">
        <v>681</v>
      </c>
      <c r="C1175" s="4" t="s">
        <v>2913</v>
      </c>
    </row>
    <row r="1176" spans="2:3">
      <c r="B1176" s="4" t="s">
        <v>682</v>
      </c>
      <c r="C1176" s="4" t="s">
        <v>2914</v>
      </c>
    </row>
    <row r="1177" spans="2:3">
      <c r="B1177" s="4" t="s">
        <v>683</v>
      </c>
      <c r="C1177" s="4" t="s">
        <v>2915</v>
      </c>
    </row>
    <row r="1178" spans="2:3">
      <c r="B1178" s="4" t="s">
        <v>684</v>
      </c>
      <c r="C1178" s="4" t="s">
        <v>2916</v>
      </c>
    </row>
    <row r="1179" spans="2:3">
      <c r="B1179" s="4" t="s">
        <v>314</v>
      </c>
      <c r="C1179" s="4" t="s">
        <v>2917</v>
      </c>
    </row>
    <row r="1180" spans="2:3">
      <c r="B1180" s="4" t="s">
        <v>315</v>
      </c>
      <c r="C1180" s="4" t="s">
        <v>2918</v>
      </c>
    </row>
    <row r="1181" spans="2:3">
      <c r="B1181" s="4" t="s">
        <v>316</v>
      </c>
      <c r="C1181" s="4" t="s">
        <v>2919</v>
      </c>
    </row>
    <row r="1182" spans="2:3">
      <c r="B1182" s="4" t="s">
        <v>317</v>
      </c>
      <c r="C1182" s="4" t="s">
        <v>2920</v>
      </c>
    </row>
    <row r="1183" spans="2:3">
      <c r="B1183" s="4" t="s">
        <v>319</v>
      </c>
      <c r="C1183" s="4" t="s">
        <v>2921</v>
      </c>
    </row>
    <row r="1184" spans="2:3">
      <c r="B1184" s="4" t="s">
        <v>2922</v>
      </c>
      <c r="C1184" s="4" t="s">
        <v>2923</v>
      </c>
    </row>
    <row r="1185" spans="2:3">
      <c r="B1185" s="4" t="s">
        <v>565</v>
      </c>
      <c r="C1185" s="4" t="s">
        <v>2924</v>
      </c>
    </row>
    <row r="1186" spans="2:3">
      <c r="B1186" s="4" t="s">
        <v>566</v>
      </c>
      <c r="C1186" s="4" t="s">
        <v>2925</v>
      </c>
    </row>
    <row r="1187" spans="2:3">
      <c r="B1187" s="4" t="s">
        <v>567</v>
      </c>
      <c r="C1187" s="4" t="s">
        <v>2926</v>
      </c>
    </row>
    <row r="1188" spans="2:3">
      <c r="B1188" s="4" t="s">
        <v>568</v>
      </c>
      <c r="C1188" s="4" t="s">
        <v>2927</v>
      </c>
    </row>
    <row r="1189" spans="2:3">
      <c r="B1189" s="4" t="s">
        <v>569</v>
      </c>
      <c r="C1189" s="4" t="s">
        <v>2928</v>
      </c>
    </row>
    <row r="1190" spans="2:3">
      <c r="B1190" s="4" t="s">
        <v>570</v>
      </c>
      <c r="C1190" s="4" t="s">
        <v>2929</v>
      </c>
    </row>
    <row r="1191" spans="2:3">
      <c r="B1191" s="4" t="s">
        <v>571</v>
      </c>
      <c r="C1191" s="4" t="s">
        <v>2930</v>
      </c>
    </row>
    <row r="1192" spans="2:3">
      <c r="B1192" s="4" t="s">
        <v>572</v>
      </c>
      <c r="C1192" s="4" t="s">
        <v>2931</v>
      </c>
    </row>
    <row r="1193" spans="2:3">
      <c r="B1193" s="4" t="s">
        <v>573</v>
      </c>
      <c r="C1193" s="4" t="s">
        <v>2932</v>
      </c>
    </row>
    <row r="1194" spans="2:3">
      <c r="B1194" s="4" t="s">
        <v>574</v>
      </c>
      <c r="C1194" s="4" t="s">
        <v>2933</v>
      </c>
    </row>
    <row r="1195" spans="2:3">
      <c r="B1195" s="4" t="s">
        <v>575</v>
      </c>
      <c r="C1195" s="4" t="s">
        <v>2934</v>
      </c>
    </row>
    <row r="1196" spans="2:3">
      <c r="B1196" s="4" t="s">
        <v>576</v>
      </c>
      <c r="C1196" s="4" t="s">
        <v>2935</v>
      </c>
    </row>
    <row r="1197" spans="2:3">
      <c r="B1197" s="4" t="s">
        <v>577</v>
      </c>
      <c r="C1197" s="4" t="s">
        <v>2936</v>
      </c>
    </row>
    <row r="1198" spans="2:3">
      <c r="B1198" s="4" t="s">
        <v>578</v>
      </c>
      <c r="C1198" s="4" t="s">
        <v>2937</v>
      </c>
    </row>
    <row r="1199" spans="2:3">
      <c r="B1199" s="4" t="s">
        <v>579</v>
      </c>
      <c r="C1199" s="4" t="s">
        <v>2938</v>
      </c>
    </row>
    <row r="1200" spans="2:3">
      <c r="B1200" s="4" t="s">
        <v>580</v>
      </c>
      <c r="C1200" s="4" t="s">
        <v>2939</v>
      </c>
    </row>
    <row r="1201" spans="2:3">
      <c r="B1201" s="4" t="s">
        <v>581</v>
      </c>
      <c r="C1201" s="4" t="s">
        <v>2940</v>
      </c>
    </row>
    <row r="1202" spans="2:3">
      <c r="B1202" s="4" t="s">
        <v>582</v>
      </c>
      <c r="C1202" s="4" t="s">
        <v>2941</v>
      </c>
    </row>
    <row r="1203" spans="2:3">
      <c r="B1203" s="4" t="s">
        <v>583</v>
      </c>
      <c r="C1203" s="4" t="s">
        <v>2942</v>
      </c>
    </row>
    <row r="1204" spans="2:3">
      <c r="B1204" s="4" t="s">
        <v>584</v>
      </c>
      <c r="C1204" s="4" t="s">
        <v>2943</v>
      </c>
    </row>
    <row r="1205" spans="2:3">
      <c r="B1205" s="4" t="s">
        <v>586</v>
      </c>
      <c r="C1205" s="4" t="s">
        <v>2944</v>
      </c>
    </row>
    <row r="1206" spans="2:3">
      <c r="B1206" s="4" t="s">
        <v>587</v>
      </c>
      <c r="C1206" s="4" t="s">
        <v>2945</v>
      </c>
    </row>
    <row r="1207" spans="2:3">
      <c r="B1207" s="4" t="s">
        <v>589</v>
      </c>
      <c r="C1207" s="4" t="s">
        <v>2946</v>
      </c>
    </row>
    <row r="1208" spans="2:3">
      <c r="B1208" s="4" t="s">
        <v>590</v>
      </c>
      <c r="C1208" s="4" t="s">
        <v>2947</v>
      </c>
    </row>
    <row r="1209" spans="2:3">
      <c r="B1209" s="4" t="s">
        <v>591</v>
      </c>
      <c r="C1209" s="4" t="s">
        <v>2948</v>
      </c>
    </row>
    <row r="1210" spans="2:3">
      <c r="B1210" s="4" t="s">
        <v>592</v>
      </c>
      <c r="C1210" s="4" t="s">
        <v>2949</v>
      </c>
    </row>
    <row r="1211" spans="2:3">
      <c r="B1211" s="4" t="s">
        <v>299</v>
      </c>
      <c r="C1211" s="4" t="s">
        <v>2950</v>
      </c>
    </row>
    <row r="1212" spans="2:3">
      <c r="B1212" s="4" t="s">
        <v>2951</v>
      </c>
      <c r="C1212" s="4" t="s">
        <v>2952</v>
      </c>
    </row>
    <row r="1213" spans="2:3">
      <c r="B1213" s="4" t="s">
        <v>300</v>
      </c>
      <c r="C1213" s="4" t="s">
        <v>2953</v>
      </c>
    </row>
    <row r="1214" spans="2:3">
      <c r="B1214" s="4" t="s">
        <v>301</v>
      </c>
      <c r="C1214" s="4" t="s">
        <v>2954</v>
      </c>
    </row>
    <row r="1215" spans="2:3">
      <c r="B1215" s="4" t="s">
        <v>302</v>
      </c>
      <c r="C1215" s="4" t="s">
        <v>2955</v>
      </c>
    </row>
    <row r="1216" spans="2:3">
      <c r="B1216" s="4" t="s">
        <v>2956</v>
      </c>
      <c r="C1216" s="4" t="s">
        <v>2957</v>
      </c>
    </row>
    <row r="1217" spans="2:3">
      <c r="B1217" s="4" t="s">
        <v>303</v>
      </c>
      <c r="C1217" s="4" t="s">
        <v>2958</v>
      </c>
    </row>
    <row r="1218" spans="2:3">
      <c r="B1218" s="4" t="s">
        <v>2959</v>
      </c>
      <c r="C1218" s="4" t="s">
        <v>2960</v>
      </c>
    </row>
    <row r="1219" spans="2:3">
      <c r="B1219" s="4" t="s">
        <v>304</v>
      </c>
      <c r="C1219" s="4" t="s">
        <v>2961</v>
      </c>
    </row>
    <row r="1220" spans="2:3">
      <c r="B1220" s="4" t="s">
        <v>305</v>
      </c>
      <c r="C1220" s="4" t="s">
        <v>2962</v>
      </c>
    </row>
    <row r="1221" spans="2:3">
      <c r="B1221" s="4" t="s">
        <v>306</v>
      </c>
      <c r="C1221" s="4" t="s">
        <v>2963</v>
      </c>
    </row>
    <row r="1222" spans="2:3">
      <c r="B1222" s="4" t="s">
        <v>430</v>
      </c>
      <c r="C1222" s="4" t="s">
        <v>2964</v>
      </c>
    </row>
    <row r="1223" spans="2:3">
      <c r="B1223" s="4" t="s">
        <v>432</v>
      </c>
      <c r="C1223" s="4" t="s">
        <v>2965</v>
      </c>
    </row>
    <row r="1224" spans="2:3">
      <c r="B1224" s="4" t="s">
        <v>434</v>
      </c>
      <c r="C1224" s="4" t="s">
        <v>2966</v>
      </c>
    </row>
    <row r="1225" spans="2:3">
      <c r="B1225" s="4" t="s">
        <v>435</v>
      </c>
      <c r="C1225" s="4" t="s">
        <v>2967</v>
      </c>
    </row>
    <row r="1226" spans="2:3">
      <c r="B1226" s="4" t="s">
        <v>436</v>
      </c>
      <c r="C1226" s="4" t="s">
        <v>2968</v>
      </c>
    </row>
    <row r="1227" spans="2:3">
      <c r="B1227" s="4" t="s">
        <v>437</v>
      </c>
      <c r="C1227" s="4" t="s">
        <v>2969</v>
      </c>
    </row>
    <row r="1228" spans="2:3">
      <c r="B1228" s="4" t="s">
        <v>438</v>
      </c>
      <c r="C1228" s="4" t="s">
        <v>2970</v>
      </c>
    </row>
    <row r="1229" spans="2:3">
      <c r="B1229" s="4" t="s">
        <v>439</v>
      </c>
      <c r="C1229" s="4" t="s">
        <v>2971</v>
      </c>
    </row>
    <row r="1230" spans="2:3">
      <c r="B1230" s="4" t="s">
        <v>440</v>
      </c>
      <c r="C1230" s="4" t="s">
        <v>2972</v>
      </c>
    </row>
    <row r="1231" spans="2:3">
      <c r="B1231" s="4" t="s">
        <v>441</v>
      </c>
      <c r="C1231" s="4" t="s">
        <v>2973</v>
      </c>
    </row>
    <row r="1232" spans="2:3">
      <c r="B1232" s="4" t="s">
        <v>442</v>
      </c>
      <c r="C1232" s="4" t="s">
        <v>2974</v>
      </c>
    </row>
    <row r="1233" spans="2:3">
      <c r="B1233" s="4" t="s">
        <v>443</v>
      </c>
      <c r="C1233" s="4" t="s">
        <v>2975</v>
      </c>
    </row>
    <row r="1234" spans="2:3">
      <c r="B1234" s="4" t="s">
        <v>444</v>
      </c>
      <c r="C1234" s="4" t="s">
        <v>2976</v>
      </c>
    </row>
    <row r="1235" spans="2:3">
      <c r="B1235" s="4" t="s">
        <v>445</v>
      </c>
      <c r="C1235" s="4" t="s">
        <v>2977</v>
      </c>
    </row>
    <row r="1236" spans="2:3">
      <c r="B1236" s="4" t="s">
        <v>446</v>
      </c>
      <c r="C1236" s="4" t="s">
        <v>2978</v>
      </c>
    </row>
    <row r="1237" spans="2:3">
      <c r="B1237" s="4" t="s">
        <v>447</v>
      </c>
      <c r="C1237" s="4" t="s">
        <v>2979</v>
      </c>
    </row>
    <row r="1238" spans="2:3">
      <c r="B1238" s="4" t="s">
        <v>448</v>
      </c>
      <c r="C1238" s="4" t="s">
        <v>2980</v>
      </c>
    </row>
    <row r="1239" spans="2:3">
      <c r="B1239" s="4" t="s">
        <v>2981</v>
      </c>
      <c r="C1239" s="4" t="s">
        <v>2982</v>
      </c>
    </row>
    <row r="1240" spans="2:3">
      <c r="B1240" s="4" t="s">
        <v>449</v>
      </c>
      <c r="C1240" s="4" t="s">
        <v>2983</v>
      </c>
    </row>
    <row r="1241" spans="2:3">
      <c r="B1241" s="4" t="s">
        <v>450</v>
      </c>
      <c r="C1241" s="4" t="s">
        <v>2984</v>
      </c>
    </row>
    <row r="1242" spans="2:3">
      <c r="B1242" s="4" t="s">
        <v>451</v>
      </c>
      <c r="C1242" s="4" t="s">
        <v>2985</v>
      </c>
    </row>
    <row r="1243" spans="2:3">
      <c r="B1243" s="4" t="s">
        <v>453</v>
      </c>
      <c r="C1243" s="4" t="s">
        <v>2986</v>
      </c>
    </row>
    <row r="1244" spans="2:3">
      <c r="B1244" s="4" t="s">
        <v>454</v>
      </c>
      <c r="C1244" s="4" t="s">
        <v>2987</v>
      </c>
    </row>
    <row r="1245" spans="2:3">
      <c r="B1245" s="4" t="s">
        <v>455</v>
      </c>
      <c r="C1245" s="4" t="s">
        <v>2988</v>
      </c>
    </row>
    <row r="1246" spans="2:3">
      <c r="B1246" s="4" t="s">
        <v>2989</v>
      </c>
      <c r="C1246" s="4" t="s">
        <v>2990</v>
      </c>
    </row>
    <row r="1247" spans="2:3">
      <c r="B1247" s="4" t="s">
        <v>457</v>
      </c>
      <c r="C1247" s="4" t="s">
        <v>2991</v>
      </c>
    </row>
    <row r="1248" spans="2:3">
      <c r="B1248" s="4" t="s">
        <v>458</v>
      </c>
      <c r="C1248" s="4" t="s">
        <v>2992</v>
      </c>
    </row>
    <row r="1249" spans="2:3">
      <c r="B1249" s="4" t="s">
        <v>459</v>
      </c>
      <c r="C1249" s="4" t="s">
        <v>2993</v>
      </c>
    </row>
    <row r="1250" spans="2:3">
      <c r="B1250" s="4" t="s">
        <v>521</v>
      </c>
      <c r="C1250" s="4" t="s">
        <v>2994</v>
      </c>
    </row>
    <row r="1251" spans="2:3">
      <c r="B1251" s="4" t="s">
        <v>523</v>
      </c>
      <c r="C1251" s="4" t="s">
        <v>2995</v>
      </c>
    </row>
    <row r="1252" spans="2:3">
      <c r="B1252" s="4" t="s">
        <v>524</v>
      </c>
      <c r="C1252" s="4" t="s">
        <v>2996</v>
      </c>
    </row>
    <row r="1253" spans="2:3">
      <c r="B1253" s="4" t="s">
        <v>525</v>
      </c>
      <c r="C1253" s="4" t="s">
        <v>2997</v>
      </c>
    </row>
    <row r="1254" spans="2:3">
      <c r="B1254" s="4" t="s">
        <v>526</v>
      </c>
      <c r="C1254" s="4" t="s">
        <v>2998</v>
      </c>
    </row>
    <row r="1255" spans="2:3">
      <c r="B1255" s="4" t="s">
        <v>527</v>
      </c>
      <c r="C1255" s="4" t="s">
        <v>2999</v>
      </c>
    </row>
    <row r="1256" spans="2:3">
      <c r="B1256" s="4" t="s">
        <v>528</v>
      </c>
      <c r="C1256" s="4" t="s">
        <v>3000</v>
      </c>
    </row>
    <row r="1257" spans="2:3">
      <c r="B1257" s="4" t="s">
        <v>308</v>
      </c>
      <c r="C1257" s="4" t="s">
        <v>3001</v>
      </c>
    </row>
    <row r="1258" spans="2:3">
      <c r="B1258" s="4" t="s">
        <v>320</v>
      </c>
      <c r="C1258" s="4" t="s">
        <v>3002</v>
      </c>
    </row>
    <row r="1259" spans="2:3">
      <c r="B1259" s="4" t="s">
        <v>460</v>
      </c>
      <c r="C1259" s="4" t="s">
        <v>3003</v>
      </c>
    </row>
    <row r="1260" spans="2:3">
      <c r="B1260" s="4" t="s">
        <v>461</v>
      </c>
      <c r="C1260" s="4" t="s">
        <v>3004</v>
      </c>
    </row>
    <row r="1261" spans="2:3">
      <c r="B1261" s="4" t="s">
        <v>3005</v>
      </c>
      <c r="C1261" s="4" t="s">
        <v>3006</v>
      </c>
    </row>
    <row r="1262" spans="2:3">
      <c r="B1262" s="4" t="s">
        <v>463</v>
      </c>
      <c r="C1262" s="4" t="s">
        <v>3007</v>
      </c>
    </row>
    <row r="1263" spans="2:3">
      <c r="B1263" s="4" t="s">
        <v>464</v>
      </c>
      <c r="C1263" s="4" t="s">
        <v>3008</v>
      </c>
    </row>
    <row r="1264" spans="2:3">
      <c r="B1264" s="4" t="s">
        <v>465</v>
      </c>
      <c r="C1264" s="4" t="s">
        <v>3009</v>
      </c>
    </row>
    <row r="1265" spans="2:3">
      <c r="B1265" s="4" t="s">
        <v>466</v>
      </c>
      <c r="C1265" s="4" t="s">
        <v>3010</v>
      </c>
    </row>
    <row r="1266" spans="2:3">
      <c r="B1266" s="4" t="s">
        <v>467</v>
      </c>
      <c r="C1266" s="4" t="s">
        <v>3011</v>
      </c>
    </row>
    <row r="1267" spans="2:3">
      <c r="B1267" s="4" t="s">
        <v>468</v>
      </c>
      <c r="C1267" s="4" t="s">
        <v>3012</v>
      </c>
    </row>
    <row r="1268" spans="2:3">
      <c r="B1268" s="4" t="s">
        <v>469</v>
      </c>
      <c r="C1268" s="4" t="s">
        <v>3013</v>
      </c>
    </row>
    <row r="1269" spans="2:3">
      <c r="B1269" s="4" t="s">
        <v>470</v>
      </c>
      <c r="C1269" s="4" t="s">
        <v>3014</v>
      </c>
    </row>
    <row r="1270" spans="2:3">
      <c r="B1270" s="4" t="s">
        <v>472</v>
      </c>
      <c r="C1270" s="4" t="s">
        <v>3015</v>
      </c>
    </row>
    <row r="1271" spans="2:3">
      <c r="B1271" s="4" t="s">
        <v>474</v>
      </c>
      <c r="C1271" s="4" t="s">
        <v>3016</v>
      </c>
    </row>
    <row r="1272" spans="2:3">
      <c r="B1272" s="4" t="s">
        <v>475</v>
      </c>
      <c r="C1272" s="4" t="s">
        <v>3017</v>
      </c>
    </row>
    <row r="1273" spans="2:3">
      <c r="B1273" s="4" t="s">
        <v>476</v>
      </c>
      <c r="C1273" s="4" t="s">
        <v>3018</v>
      </c>
    </row>
    <row r="1274" spans="2:3">
      <c r="B1274" s="4" t="s">
        <v>3019</v>
      </c>
      <c r="C1274" s="4" t="s">
        <v>1031</v>
      </c>
    </row>
    <row r="1275" spans="2:3">
      <c r="B1275" s="4" t="s">
        <v>3020</v>
      </c>
      <c r="C1275" s="4" t="s">
        <v>698</v>
      </c>
    </row>
    <row r="1276" spans="2:3">
      <c r="B1276" s="4" t="s">
        <v>3021</v>
      </c>
      <c r="C1276" s="4" t="s">
        <v>699</v>
      </c>
    </row>
    <row r="1277" spans="2:3">
      <c r="B1277" s="4" t="s">
        <v>3022</v>
      </c>
      <c r="C1277" s="4" t="s">
        <v>3023</v>
      </c>
    </row>
    <row r="1278" spans="2:3">
      <c r="B1278" s="4" t="s">
        <v>806</v>
      </c>
      <c r="C1278" s="4" t="s">
        <v>3024</v>
      </c>
    </row>
    <row r="1279" spans="2:3">
      <c r="B1279" s="4" t="s">
        <v>3025</v>
      </c>
      <c r="C1279" s="4" t="s">
        <v>3026</v>
      </c>
    </row>
    <row r="1280" spans="2:3">
      <c r="B1280" s="4" t="s">
        <v>807</v>
      </c>
      <c r="C1280" s="4" t="s">
        <v>3027</v>
      </c>
    </row>
    <row r="1281" spans="2:3">
      <c r="B1281" s="4" t="s">
        <v>3028</v>
      </c>
      <c r="C1281" s="4" t="s">
        <v>3029</v>
      </c>
    </row>
    <row r="1282" spans="2:3">
      <c r="B1282" s="4" t="s">
        <v>3030</v>
      </c>
      <c r="C1282" s="4" t="s">
        <v>3031</v>
      </c>
    </row>
    <row r="1283" spans="2:3">
      <c r="B1283" s="4" t="s">
        <v>3032</v>
      </c>
      <c r="C1283" s="4" t="s">
        <v>3033</v>
      </c>
    </row>
    <row r="1284" spans="2:3">
      <c r="B1284" s="4" t="s">
        <v>3034</v>
      </c>
      <c r="C1284" s="4" t="s">
        <v>3035</v>
      </c>
    </row>
    <row r="1285" spans="2:3">
      <c r="B1285" s="4" t="s">
        <v>3036</v>
      </c>
      <c r="C1285" s="4" t="s">
        <v>3037</v>
      </c>
    </row>
    <row r="1286" spans="2:3">
      <c r="B1286" s="4" t="s">
        <v>808</v>
      </c>
      <c r="C1286" s="4" t="s">
        <v>3038</v>
      </c>
    </row>
    <row r="1287" spans="2:3">
      <c r="B1287" s="4" t="s">
        <v>3039</v>
      </c>
      <c r="C1287" s="4" t="s">
        <v>3040</v>
      </c>
    </row>
    <row r="1288" spans="2:3">
      <c r="B1288" s="4" t="s">
        <v>3041</v>
      </c>
      <c r="C1288" s="4" t="s">
        <v>3042</v>
      </c>
    </row>
    <row r="1289" spans="2:3">
      <c r="B1289" s="4" t="s">
        <v>3043</v>
      </c>
      <c r="C1289" s="4" t="s">
        <v>810</v>
      </c>
    </row>
    <row r="1290" spans="2:3">
      <c r="B1290" s="4" t="s">
        <v>3044</v>
      </c>
      <c r="C1290" s="4" t="s">
        <v>811</v>
      </c>
    </row>
    <row r="1291" spans="2:3">
      <c r="B1291" s="4" t="s">
        <v>3045</v>
      </c>
      <c r="C1291" s="4" t="s">
        <v>812</v>
      </c>
    </row>
    <row r="1292" spans="2:3">
      <c r="B1292" s="4" t="s">
        <v>3046</v>
      </c>
      <c r="C1292" s="4" t="s">
        <v>3047</v>
      </c>
    </row>
    <row r="1293" spans="2:3">
      <c r="B1293" s="4" t="s">
        <v>3048</v>
      </c>
      <c r="C1293" s="4" t="s">
        <v>3049</v>
      </c>
    </row>
    <row r="1294" spans="2:3">
      <c r="B1294" s="4" t="s">
        <v>3050</v>
      </c>
      <c r="C1294" s="4" t="s">
        <v>3051</v>
      </c>
    </row>
    <row r="1295" spans="2:3">
      <c r="B1295" s="4" t="s">
        <v>3052</v>
      </c>
      <c r="C1295" s="4" t="s">
        <v>3053</v>
      </c>
    </row>
    <row r="1296" spans="2:3">
      <c r="B1296" s="4" t="s">
        <v>3054</v>
      </c>
      <c r="C1296" s="4" t="s">
        <v>3055</v>
      </c>
    </row>
    <row r="1297" spans="2:3">
      <c r="B1297" s="4" t="s">
        <v>3056</v>
      </c>
      <c r="C1297" s="4" t="s">
        <v>3057</v>
      </c>
    </row>
    <row r="1298" spans="2:3">
      <c r="B1298" s="4" t="s">
        <v>1019</v>
      </c>
      <c r="C1298" s="4" t="s">
        <v>3058</v>
      </c>
    </row>
    <row r="1299" spans="2:3">
      <c r="B1299" s="4" t="s">
        <v>3059</v>
      </c>
      <c r="C1299" s="4" t="s">
        <v>3060</v>
      </c>
    </row>
    <row r="1300" spans="2:3">
      <c r="B1300" s="4" t="s">
        <v>3061</v>
      </c>
      <c r="C1300" s="4" t="s">
        <v>3062</v>
      </c>
    </row>
    <row r="1301" spans="2:3">
      <c r="B1301" s="4" t="s">
        <v>3063</v>
      </c>
      <c r="C1301" s="4" t="s">
        <v>3064</v>
      </c>
    </row>
    <row r="1302" spans="2:3">
      <c r="B1302" s="4" t="s">
        <v>3065</v>
      </c>
      <c r="C1302" s="4" t="s">
        <v>3066</v>
      </c>
    </row>
    <row r="1303" spans="2:3">
      <c r="B1303" s="4" t="s">
        <v>3067</v>
      </c>
      <c r="C1303" s="4" t="s">
        <v>3068</v>
      </c>
    </row>
    <row r="1304" spans="2:3">
      <c r="B1304" s="4" t="s">
        <v>3069</v>
      </c>
      <c r="C1304" s="4" t="s">
        <v>3070</v>
      </c>
    </row>
    <row r="1305" spans="2:3">
      <c r="B1305" s="4" t="s">
        <v>3071</v>
      </c>
      <c r="C1305" s="4" t="s">
        <v>3072</v>
      </c>
    </row>
    <row r="1306" spans="2:3">
      <c r="B1306" s="4" t="s">
        <v>3073</v>
      </c>
      <c r="C1306" s="4" t="s">
        <v>3074</v>
      </c>
    </row>
    <row r="1307" spans="2:3">
      <c r="B1307" s="4" t="s">
        <v>3075</v>
      </c>
      <c r="C1307" s="4" t="s">
        <v>3076</v>
      </c>
    </row>
    <row r="1308" spans="2:3">
      <c r="B1308" s="4" t="s">
        <v>3077</v>
      </c>
      <c r="C1308" s="4" t="s">
        <v>3078</v>
      </c>
    </row>
    <row r="1309" spans="2:3">
      <c r="B1309" s="4" t="s">
        <v>3079</v>
      </c>
      <c r="C1309" s="4" t="s">
        <v>3080</v>
      </c>
    </row>
    <row r="1310" spans="2:3">
      <c r="B1310" s="4" t="s">
        <v>3081</v>
      </c>
      <c r="C1310" s="4" t="s">
        <v>3082</v>
      </c>
    </row>
    <row r="1311" spans="2:3">
      <c r="B1311" s="4" t="s">
        <v>3083</v>
      </c>
      <c r="C1311" s="4" t="s">
        <v>3084</v>
      </c>
    </row>
    <row r="1312" spans="2:3">
      <c r="B1312" s="4" t="s">
        <v>3085</v>
      </c>
      <c r="C1312" s="4" t="s">
        <v>3086</v>
      </c>
    </row>
    <row r="1313" spans="2:3">
      <c r="B1313" s="4" t="s">
        <v>3087</v>
      </c>
      <c r="C1313" s="4" t="s">
        <v>3088</v>
      </c>
    </row>
    <row r="1314" spans="2:3">
      <c r="B1314" s="4" t="s">
        <v>3089</v>
      </c>
      <c r="C1314" s="4" t="s">
        <v>3090</v>
      </c>
    </row>
    <row r="1315" spans="2:3">
      <c r="B1315" s="4" t="s">
        <v>3091</v>
      </c>
      <c r="C1315" s="4" t="s">
        <v>3092</v>
      </c>
    </row>
    <row r="1316" spans="2:3">
      <c r="B1316" s="4" t="s">
        <v>1067</v>
      </c>
      <c r="C1316" s="4" t="s">
        <v>3093</v>
      </c>
    </row>
    <row r="1317" spans="2:3">
      <c r="B1317" s="4" t="s">
        <v>1068</v>
      </c>
      <c r="C1317" s="4" t="s">
        <v>3094</v>
      </c>
    </row>
    <row r="1318" spans="2:3">
      <c r="B1318" s="4" t="s">
        <v>1069</v>
      </c>
      <c r="C1318" s="4" t="s">
        <v>3095</v>
      </c>
    </row>
    <row r="1319" spans="2:3">
      <c r="B1319" s="4" t="s">
        <v>1070</v>
      </c>
      <c r="C1319" s="4" t="s">
        <v>3096</v>
      </c>
    </row>
    <row r="1320" spans="2:3">
      <c r="B1320" s="4" t="s">
        <v>1071</v>
      </c>
      <c r="C1320" s="4" t="s">
        <v>3097</v>
      </c>
    </row>
    <row r="1321" spans="2:3">
      <c r="B1321" s="4" t="s">
        <v>1072</v>
      </c>
      <c r="C1321" s="4" t="s">
        <v>3098</v>
      </c>
    </row>
    <row r="1322" spans="2:3">
      <c r="B1322" s="4" t="s">
        <v>1073</v>
      </c>
      <c r="C1322" s="4" t="s">
        <v>3099</v>
      </c>
    </row>
    <row r="1323" spans="2:3">
      <c r="B1323" s="4" t="s">
        <v>1074</v>
      </c>
      <c r="C1323" s="4" t="s">
        <v>3100</v>
      </c>
    </row>
    <row r="1324" spans="2:3">
      <c r="B1324" s="4" t="s">
        <v>1290</v>
      </c>
      <c r="C1324" s="4" t="s">
        <v>3101</v>
      </c>
    </row>
    <row r="1325" spans="2:3">
      <c r="B1325" s="4" t="s">
        <v>1291</v>
      </c>
      <c r="C1325" s="4" t="s">
        <v>3102</v>
      </c>
    </row>
    <row r="1326" spans="2:3">
      <c r="B1326" s="4" t="s">
        <v>1292</v>
      </c>
      <c r="C1326" s="4" t="s">
        <v>3103</v>
      </c>
    </row>
    <row r="1327" spans="2:3">
      <c r="B1327" s="4" t="s">
        <v>1293</v>
      </c>
      <c r="C1327" s="4" t="s">
        <v>3104</v>
      </c>
    </row>
    <row r="1328" spans="2:3">
      <c r="B1328" s="4" t="s">
        <v>1294</v>
      </c>
      <c r="C1328" s="4" t="s">
        <v>3105</v>
      </c>
    </row>
    <row r="1329" spans="2:3">
      <c r="B1329" s="4" t="s">
        <v>1295</v>
      </c>
      <c r="C1329" s="4" t="s">
        <v>3106</v>
      </c>
    </row>
    <row r="1330" spans="2:3">
      <c r="B1330" s="4" t="s">
        <v>1296</v>
      </c>
      <c r="C1330" s="4" t="s">
        <v>3107</v>
      </c>
    </row>
    <row r="1331" spans="2:3">
      <c r="B1331" s="4" t="s">
        <v>1297</v>
      </c>
      <c r="C1331" s="4" t="s">
        <v>3108</v>
      </c>
    </row>
    <row r="1332" spans="2:3">
      <c r="B1332" s="4" t="s">
        <v>1298</v>
      </c>
      <c r="C1332" s="4" t="s">
        <v>3109</v>
      </c>
    </row>
    <row r="1333" spans="2:3">
      <c r="B1333" s="4" t="s">
        <v>1299</v>
      </c>
      <c r="C1333" s="4" t="s">
        <v>3110</v>
      </c>
    </row>
    <row r="1334" spans="2:3">
      <c r="B1334" s="4" t="s">
        <v>799</v>
      </c>
      <c r="C1334" s="4" t="s">
        <v>3111</v>
      </c>
    </row>
    <row r="1335" spans="2:3">
      <c r="B1335" s="4" t="s">
        <v>800</v>
      </c>
      <c r="C1335" s="4" t="s">
        <v>3112</v>
      </c>
    </row>
    <row r="1336" spans="2:3">
      <c r="B1336" s="4" t="s">
        <v>3113</v>
      </c>
      <c r="C1336" s="4" t="s">
        <v>3114</v>
      </c>
    </row>
    <row r="1337" spans="2:3">
      <c r="B1337" s="4" t="s">
        <v>3115</v>
      </c>
      <c r="C1337" s="4" t="s">
        <v>3116</v>
      </c>
    </row>
    <row r="1338" spans="2:3">
      <c r="B1338" s="4" t="s">
        <v>3117</v>
      </c>
      <c r="C1338" s="4" t="s">
        <v>3118</v>
      </c>
    </row>
    <row r="1339" spans="2:3">
      <c r="B1339" s="4" t="s">
        <v>3119</v>
      </c>
      <c r="C1339" s="4" t="s">
        <v>3120</v>
      </c>
    </row>
    <row r="1340" spans="2:3">
      <c r="B1340" s="4" t="s">
        <v>3121</v>
      </c>
      <c r="C1340" s="4" t="s">
        <v>3122</v>
      </c>
    </row>
    <row r="1341" spans="2:3">
      <c r="B1341" s="4" t="s">
        <v>3123</v>
      </c>
      <c r="C1341" s="4" t="s">
        <v>3124</v>
      </c>
    </row>
    <row r="1342" spans="2:3">
      <c r="B1342" s="4" t="s">
        <v>3125</v>
      </c>
      <c r="C1342" s="4" t="s">
        <v>3126</v>
      </c>
    </row>
    <row r="1343" spans="2:3">
      <c r="B1343" s="4" t="s">
        <v>3127</v>
      </c>
      <c r="C1343" s="4" t="s">
        <v>3128</v>
      </c>
    </row>
    <row r="1344" spans="2:3">
      <c r="B1344" s="4" t="s">
        <v>3129</v>
      </c>
      <c r="C1344" s="4" t="s">
        <v>3130</v>
      </c>
    </row>
    <row r="1345" spans="2:3">
      <c r="B1345" s="4" t="s">
        <v>3131</v>
      </c>
      <c r="C1345" s="4" t="s">
        <v>3132</v>
      </c>
    </row>
    <row r="1346" spans="2:3">
      <c r="B1346" s="4" t="s">
        <v>3133</v>
      </c>
      <c r="C1346" s="4" t="s">
        <v>3134</v>
      </c>
    </row>
    <row r="1347" spans="2:3">
      <c r="B1347" s="4" t="s">
        <v>3135</v>
      </c>
      <c r="C1347" s="4" t="s">
        <v>3136</v>
      </c>
    </row>
    <row r="1348" spans="2:3">
      <c r="B1348" s="4" t="s">
        <v>3137</v>
      </c>
      <c r="C1348" s="4" t="s">
        <v>3138</v>
      </c>
    </row>
    <row r="1349" spans="2:3">
      <c r="B1349" s="4" t="s">
        <v>3139</v>
      </c>
      <c r="C1349" s="4" t="s">
        <v>3140</v>
      </c>
    </row>
    <row r="1350" spans="2:3">
      <c r="B1350" s="4" t="s">
        <v>3141</v>
      </c>
      <c r="C1350" s="4" t="s">
        <v>3142</v>
      </c>
    </row>
    <row r="1351" spans="2:3">
      <c r="B1351" s="4" t="s">
        <v>3143</v>
      </c>
      <c r="C1351" s="4" t="s">
        <v>3144</v>
      </c>
    </row>
    <row r="1352" spans="2:3">
      <c r="B1352" s="4" t="s">
        <v>3145</v>
      </c>
      <c r="C1352" s="4" t="s">
        <v>3146</v>
      </c>
    </row>
    <row r="1353" spans="2:3">
      <c r="B1353" s="4" t="s">
        <v>3147</v>
      </c>
      <c r="C1353" s="4" t="s">
        <v>3148</v>
      </c>
    </row>
    <row r="1354" spans="2:3">
      <c r="B1354" s="4" t="s">
        <v>3149</v>
      </c>
      <c r="C1354" s="4" t="s">
        <v>3150</v>
      </c>
    </row>
    <row r="1355" spans="2:3">
      <c r="B1355" s="4" t="s">
        <v>3151</v>
      </c>
      <c r="C1355" s="4" t="s">
        <v>3152</v>
      </c>
    </row>
    <row r="1356" spans="2:3">
      <c r="B1356" s="4" t="s">
        <v>3153</v>
      </c>
      <c r="C1356" s="4" t="s">
        <v>3154</v>
      </c>
    </row>
    <row r="1357" spans="2:3">
      <c r="B1357" s="4" t="s">
        <v>3155</v>
      </c>
      <c r="C1357" s="4" t="s">
        <v>3156</v>
      </c>
    </row>
    <row r="1358" spans="2:3">
      <c r="B1358" s="4" t="s">
        <v>938</v>
      </c>
      <c r="C1358" s="4" t="s">
        <v>3157</v>
      </c>
    </row>
    <row r="1359" spans="2:3">
      <c r="B1359" s="4" t="s">
        <v>939</v>
      </c>
      <c r="C1359" s="4" t="s">
        <v>3158</v>
      </c>
    </row>
    <row r="1360" spans="2:3">
      <c r="B1360" s="4" t="s">
        <v>940</v>
      </c>
      <c r="C1360" s="4" t="s">
        <v>3159</v>
      </c>
    </row>
    <row r="1361" spans="2:3">
      <c r="B1361" s="4" t="s">
        <v>941</v>
      </c>
      <c r="C1361" s="4" t="s">
        <v>3160</v>
      </c>
    </row>
    <row r="1362" spans="2:3">
      <c r="B1362" s="4" t="s">
        <v>942</v>
      </c>
      <c r="C1362" s="4" t="s">
        <v>3161</v>
      </c>
    </row>
    <row r="1363" spans="2:3">
      <c r="B1363" s="4" t="s">
        <v>943</v>
      </c>
      <c r="C1363" s="4" t="s">
        <v>3162</v>
      </c>
    </row>
    <row r="1364" spans="2:3">
      <c r="B1364" s="4" t="s">
        <v>1033</v>
      </c>
      <c r="C1364" s="4" t="s">
        <v>3163</v>
      </c>
    </row>
    <row r="1365" spans="2:3">
      <c r="B1365" s="4" t="s">
        <v>1034</v>
      </c>
      <c r="C1365" s="4" t="s">
        <v>3164</v>
      </c>
    </row>
    <row r="1366" spans="2:3">
      <c r="B1366" s="4" t="s">
        <v>1075</v>
      </c>
      <c r="C1366" s="4" t="s">
        <v>3165</v>
      </c>
    </row>
    <row r="1367" spans="2:3">
      <c r="B1367" s="4" t="s">
        <v>1076</v>
      </c>
      <c r="C1367" s="4" t="s">
        <v>3166</v>
      </c>
    </row>
    <row r="1368" spans="2:3">
      <c r="B1368" s="4" t="s">
        <v>1077</v>
      </c>
      <c r="C1368" s="4" t="s">
        <v>3167</v>
      </c>
    </row>
    <row r="1369" spans="2:3">
      <c r="B1369" s="4" t="s">
        <v>1078</v>
      </c>
      <c r="C1369" s="4" t="s">
        <v>3168</v>
      </c>
    </row>
    <row r="1370" spans="2:3">
      <c r="B1370" s="4" t="s">
        <v>1079</v>
      </c>
      <c r="C1370" s="4" t="s">
        <v>3169</v>
      </c>
    </row>
    <row r="1371" spans="2:3">
      <c r="B1371" s="4" t="s">
        <v>1080</v>
      </c>
      <c r="C1371" s="4" t="s">
        <v>3170</v>
      </c>
    </row>
    <row r="1372" spans="2:3">
      <c r="B1372" s="4" t="s">
        <v>1081</v>
      </c>
      <c r="C1372" s="4" t="s">
        <v>3171</v>
      </c>
    </row>
    <row r="1373" spans="2:3">
      <c r="B1373" s="4" t="s">
        <v>1082</v>
      </c>
      <c r="C1373" s="4" t="s">
        <v>3172</v>
      </c>
    </row>
    <row r="1374" spans="2:3">
      <c r="B1374" s="4" t="s">
        <v>1083</v>
      </c>
      <c r="C1374" s="4" t="s">
        <v>3173</v>
      </c>
    </row>
    <row r="1375" spans="2:3">
      <c r="B1375" s="4" t="s">
        <v>1084</v>
      </c>
      <c r="C1375" s="4" t="s">
        <v>3174</v>
      </c>
    </row>
    <row r="1376" spans="2:3">
      <c r="B1376" s="4" t="s">
        <v>1085</v>
      </c>
      <c r="C1376" s="4" t="s">
        <v>3175</v>
      </c>
    </row>
    <row r="1377" spans="2:3">
      <c r="B1377" s="4" t="s">
        <v>1086</v>
      </c>
      <c r="C1377" s="4" t="s">
        <v>3176</v>
      </c>
    </row>
    <row r="1378" spans="2:3">
      <c r="B1378" s="4" t="s">
        <v>1088</v>
      </c>
      <c r="C1378" s="4" t="s">
        <v>3177</v>
      </c>
    </row>
    <row r="1379" spans="2:3">
      <c r="B1379" s="4" t="s">
        <v>1089</v>
      </c>
      <c r="C1379" s="4" t="s">
        <v>3178</v>
      </c>
    </row>
    <row r="1380" spans="2:3">
      <c r="B1380" s="4" t="s">
        <v>1090</v>
      </c>
      <c r="C1380" s="4" t="s">
        <v>3179</v>
      </c>
    </row>
    <row r="1381" spans="2:3">
      <c r="B1381" s="4" t="s">
        <v>1091</v>
      </c>
      <c r="C1381" s="4" t="s">
        <v>3180</v>
      </c>
    </row>
    <row r="1382" spans="2:3">
      <c r="B1382" s="4" t="s">
        <v>1092</v>
      </c>
      <c r="C1382" s="4" t="s">
        <v>3181</v>
      </c>
    </row>
    <row r="1383" spans="2:3">
      <c r="B1383" s="4" t="s">
        <v>1093</v>
      </c>
      <c r="C1383" s="4" t="s">
        <v>3182</v>
      </c>
    </row>
    <row r="1384" spans="2:3">
      <c r="B1384" s="4" t="s">
        <v>1094</v>
      </c>
      <c r="C1384" s="4" t="s">
        <v>3183</v>
      </c>
    </row>
    <row r="1385" spans="2:3">
      <c r="B1385" s="4" t="s">
        <v>1095</v>
      </c>
      <c r="C1385" s="4" t="s">
        <v>3184</v>
      </c>
    </row>
    <row r="1386" spans="2:3">
      <c r="B1386" s="4" t="s">
        <v>1096</v>
      </c>
      <c r="C1386" s="4" t="s">
        <v>3185</v>
      </c>
    </row>
    <row r="1387" spans="2:3">
      <c r="B1387" s="4" t="s">
        <v>1097</v>
      </c>
      <c r="C1387" s="4" t="s">
        <v>3186</v>
      </c>
    </row>
    <row r="1388" spans="2:3">
      <c r="B1388" s="4" t="s">
        <v>1099</v>
      </c>
      <c r="C1388" s="4" t="s">
        <v>1100</v>
      </c>
    </row>
    <row r="1389" spans="2:3">
      <c r="B1389" s="4" t="s">
        <v>1101</v>
      </c>
      <c r="C1389" s="4" t="s">
        <v>3187</v>
      </c>
    </row>
    <row r="1390" spans="2:3">
      <c r="B1390" s="4" t="s">
        <v>1102</v>
      </c>
      <c r="C1390" s="4" t="s">
        <v>3188</v>
      </c>
    </row>
    <row r="1391" spans="2:3">
      <c r="B1391" s="4" t="s">
        <v>1104</v>
      </c>
      <c r="C1391" s="4" t="s">
        <v>3189</v>
      </c>
    </row>
    <row r="1392" spans="2:3">
      <c r="B1392" s="4" t="s">
        <v>1105</v>
      </c>
      <c r="C1392" s="4" t="s">
        <v>3190</v>
      </c>
    </row>
    <row r="1393" spans="2:3">
      <c r="B1393" s="4" t="s">
        <v>1106</v>
      </c>
      <c r="C1393" s="4" t="s">
        <v>3191</v>
      </c>
    </row>
    <row r="1394" spans="2:3">
      <c r="B1394" s="4" t="s">
        <v>1107</v>
      </c>
      <c r="C1394" s="4" t="s">
        <v>3192</v>
      </c>
    </row>
    <row r="1395" spans="2:3">
      <c r="B1395" s="4" t="s">
        <v>1108</v>
      </c>
      <c r="C1395" s="4" t="s">
        <v>3193</v>
      </c>
    </row>
    <row r="1396" spans="2:3">
      <c r="B1396" s="4" t="s">
        <v>1109</v>
      </c>
      <c r="C1396" s="4" t="s">
        <v>3194</v>
      </c>
    </row>
    <row r="1397" spans="2:3">
      <c r="B1397" s="4" t="s">
        <v>1110</v>
      </c>
      <c r="C1397" s="4" t="s">
        <v>3195</v>
      </c>
    </row>
    <row r="1398" spans="2:3">
      <c r="B1398" s="4" t="s">
        <v>1111</v>
      </c>
      <c r="C1398" s="4" t="s">
        <v>3196</v>
      </c>
    </row>
    <row r="1399" spans="2:3">
      <c r="B1399" s="4" t="s">
        <v>1115</v>
      </c>
      <c r="C1399" s="4" t="s">
        <v>3197</v>
      </c>
    </row>
    <row r="1400" spans="2:3">
      <c r="B1400" s="4" t="s">
        <v>1117</v>
      </c>
      <c r="C1400" s="4" t="s">
        <v>3198</v>
      </c>
    </row>
    <row r="1401" spans="2:3">
      <c r="B1401" s="4" t="s">
        <v>1118</v>
      </c>
      <c r="C1401" s="4" t="s">
        <v>3199</v>
      </c>
    </row>
    <row r="1402" spans="2:3">
      <c r="B1402" s="4" t="s">
        <v>1120</v>
      </c>
      <c r="C1402" s="4" t="s">
        <v>3200</v>
      </c>
    </row>
    <row r="1403" spans="2:3">
      <c r="B1403" s="4" t="s">
        <v>1121</v>
      </c>
      <c r="C1403" s="4" t="s">
        <v>3201</v>
      </c>
    </row>
    <row r="1404" spans="2:3">
      <c r="B1404" s="4" t="s">
        <v>1123</v>
      </c>
      <c r="C1404" s="4" t="s">
        <v>3202</v>
      </c>
    </row>
    <row r="1405" spans="2:3">
      <c r="B1405" s="4" t="s">
        <v>1125</v>
      </c>
      <c r="C1405" s="4" t="s">
        <v>3203</v>
      </c>
    </row>
    <row r="1406" spans="2:3">
      <c r="B1406" s="4" t="s">
        <v>1127</v>
      </c>
      <c r="C1406" s="4" t="s">
        <v>3204</v>
      </c>
    </row>
    <row r="1407" spans="2:3">
      <c r="B1407" s="4" t="s">
        <v>1128</v>
      </c>
      <c r="C1407" s="4" t="s">
        <v>3205</v>
      </c>
    </row>
    <row r="1408" spans="2:3">
      <c r="B1408" s="4" t="s">
        <v>1129</v>
      </c>
      <c r="C1408" s="4" t="s">
        <v>3206</v>
      </c>
    </row>
    <row r="1409" spans="2:3">
      <c r="B1409" s="4" t="s">
        <v>1130</v>
      </c>
      <c r="C1409" s="4" t="s">
        <v>3207</v>
      </c>
    </row>
    <row r="1410" spans="2:3">
      <c r="B1410" s="4" t="s">
        <v>1131</v>
      </c>
      <c r="C1410" s="4" t="s">
        <v>3208</v>
      </c>
    </row>
    <row r="1411" spans="2:3">
      <c r="B1411" s="4" t="s">
        <v>1132</v>
      </c>
      <c r="C1411" s="4" t="s">
        <v>3209</v>
      </c>
    </row>
    <row r="1412" spans="2:3">
      <c r="B1412" s="4" t="s">
        <v>1133</v>
      </c>
      <c r="C1412" s="4" t="s">
        <v>3210</v>
      </c>
    </row>
    <row r="1413" spans="2:3">
      <c r="B1413" s="4" t="s">
        <v>1134</v>
      </c>
      <c r="C1413" s="4" t="s">
        <v>3211</v>
      </c>
    </row>
    <row r="1414" spans="2:3">
      <c r="B1414" s="4" t="s">
        <v>1135</v>
      </c>
      <c r="C1414" s="4" t="s">
        <v>3212</v>
      </c>
    </row>
    <row r="1415" spans="2:3">
      <c r="B1415" s="4" t="s">
        <v>1136</v>
      </c>
      <c r="C1415" s="4" t="s">
        <v>3213</v>
      </c>
    </row>
    <row r="1416" spans="2:3">
      <c r="B1416" s="4" t="s">
        <v>1300</v>
      </c>
      <c r="C1416" s="4" t="s">
        <v>3214</v>
      </c>
    </row>
    <row r="1417" spans="2:3">
      <c r="B1417" s="4" t="s">
        <v>1301</v>
      </c>
      <c r="C1417" s="4" t="s">
        <v>3215</v>
      </c>
    </row>
    <row r="1418" spans="2:3">
      <c r="B1418" s="4" t="s">
        <v>1302</v>
      </c>
      <c r="C1418" s="4" t="s">
        <v>3216</v>
      </c>
    </row>
    <row r="1419" spans="2:3">
      <c r="B1419" s="4" t="s">
        <v>1303</v>
      </c>
      <c r="C1419" s="4" t="s">
        <v>3217</v>
      </c>
    </row>
    <row r="1420" spans="2:3">
      <c r="B1420" s="4" t="s">
        <v>1304</v>
      </c>
      <c r="C1420" s="4" t="s">
        <v>3218</v>
      </c>
    </row>
    <row r="1421" spans="2:3">
      <c r="B1421" s="4" t="s">
        <v>1305</v>
      </c>
      <c r="C1421" s="4" t="s">
        <v>3219</v>
      </c>
    </row>
    <row r="1422" spans="2:3">
      <c r="B1422" s="4" t="s">
        <v>3220</v>
      </c>
      <c r="C1422" s="4" t="s">
        <v>3221</v>
      </c>
    </row>
    <row r="1423" spans="2:3">
      <c r="B1423" s="4" t="s">
        <v>1306</v>
      </c>
      <c r="C1423" s="4" t="s">
        <v>3222</v>
      </c>
    </row>
    <row r="1424" spans="2:3">
      <c r="B1424" s="4" t="s">
        <v>1307</v>
      </c>
      <c r="C1424" s="4" t="s">
        <v>3223</v>
      </c>
    </row>
    <row r="1425" spans="2:3">
      <c r="B1425" s="4" t="s">
        <v>1308</v>
      </c>
      <c r="C1425" s="4" t="s">
        <v>3224</v>
      </c>
    </row>
    <row r="1426" spans="2:3">
      <c r="B1426" s="4" t="s">
        <v>3225</v>
      </c>
      <c r="C1426" s="4" t="s">
        <v>3226</v>
      </c>
    </row>
    <row r="1427" spans="2:3">
      <c r="B1427" s="4" t="s">
        <v>1309</v>
      </c>
      <c r="C1427" s="4" t="s">
        <v>3227</v>
      </c>
    </row>
    <row r="1428" spans="2:3">
      <c r="B1428" s="4" t="s">
        <v>3228</v>
      </c>
      <c r="C1428" s="4" t="s">
        <v>3229</v>
      </c>
    </row>
    <row r="1429" spans="2:3">
      <c r="B1429" s="4" t="s">
        <v>3230</v>
      </c>
      <c r="C1429" s="4" t="s">
        <v>3231</v>
      </c>
    </row>
    <row r="1430" spans="2:3">
      <c r="B1430" s="4" t="s">
        <v>1310</v>
      </c>
      <c r="C1430" s="4" t="s">
        <v>3232</v>
      </c>
    </row>
    <row r="1431" spans="2:3">
      <c r="B1431" s="4" t="s">
        <v>1311</v>
      </c>
      <c r="C1431" s="4" t="s">
        <v>3233</v>
      </c>
    </row>
    <row r="1432" spans="2:3">
      <c r="B1432" s="4" t="s">
        <v>3234</v>
      </c>
      <c r="C1432" s="4" t="s">
        <v>3235</v>
      </c>
    </row>
    <row r="1433" spans="2:3">
      <c r="B1433" s="4" t="s">
        <v>3236</v>
      </c>
      <c r="C1433" s="4" t="s">
        <v>3237</v>
      </c>
    </row>
    <row r="1434" spans="2:3">
      <c r="B1434" s="4" t="s">
        <v>3238</v>
      </c>
      <c r="C1434" s="4" t="s">
        <v>3239</v>
      </c>
    </row>
    <row r="1435" spans="2:3">
      <c r="B1435" s="4" t="s">
        <v>1312</v>
      </c>
      <c r="C1435" s="4" t="s">
        <v>3240</v>
      </c>
    </row>
    <row r="1436" spans="2:3">
      <c r="B1436" s="4" t="s">
        <v>3241</v>
      </c>
      <c r="C1436" s="4" t="s">
        <v>3242</v>
      </c>
    </row>
    <row r="1437" spans="2:3">
      <c r="B1437" s="4" t="s">
        <v>1313</v>
      </c>
      <c r="C1437" s="4" t="s">
        <v>3243</v>
      </c>
    </row>
    <row r="1438" spans="2:3">
      <c r="B1438" s="4" t="s">
        <v>1314</v>
      </c>
      <c r="C1438" s="4" t="s">
        <v>3244</v>
      </c>
    </row>
    <row r="1439" spans="2:3">
      <c r="B1439" s="4" t="s">
        <v>1315</v>
      </c>
      <c r="C1439" s="4" t="s">
        <v>3245</v>
      </c>
    </row>
    <row r="1440" spans="2:3">
      <c r="B1440" s="4" t="s">
        <v>1316</v>
      </c>
      <c r="C1440" s="4" t="s">
        <v>3246</v>
      </c>
    </row>
    <row r="1441" spans="2:3">
      <c r="B1441" s="4" t="s">
        <v>1317</v>
      </c>
      <c r="C1441" s="4" t="s">
        <v>3247</v>
      </c>
    </row>
    <row r="1442" spans="2:3">
      <c r="B1442" s="4" t="s">
        <v>1318</v>
      </c>
      <c r="C1442" s="4" t="s">
        <v>3248</v>
      </c>
    </row>
    <row r="1443" spans="2:3">
      <c r="B1443" s="4" t="s">
        <v>1319</v>
      </c>
      <c r="C1443" s="4" t="s">
        <v>3249</v>
      </c>
    </row>
    <row r="1444" spans="2:3">
      <c r="B1444" s="4" t="s">
        <v>1320</v>
      </c>
      <c r="C1444" s="4" t="s">
        <v>3250</v>
      </c>
    </row>
    <row r="1445" spans="2:3">
      <c r="B1445" s="4" t="s">
        <v>1321</v>
      </c>
      <c r="C1445" s="4" t="s">
        <v>3251</v>
      </c>
    </row>
    <row r="1446" spans="2:3">
      <c r="B1446" s="4" t="s">
        <v>1322</v>
      </c>
      <c r="C1446" s="4" t="s">
        <v>3252</v>
      </c>
    </row>
    <row r="1447" spans="2:3">
      <c r="B1447" s="4" t="s">
        <v>1323</v>
      </c>
      <c r="C1447" s="4" t="s">
        <v>3253</v>
      </c>
    </row>
    <row r="1448" spans="2:3">
      <c r="B1448" s="4" t="s">
        <v>3254</v>
      </c>
      <c r="C1448" s="4" t="s">
        <v>3255</v>
      </c>
    </row>
    <row r="1449" spans="2:3">
      <c r="B1449" s="4" t="s">
        <v>657</v>
      </c>
      <c r="C1449" s="4" t="s">
        <v>3256</v>
      </c>
    </row>
    <row r="1450" spans="2:3">
      <c r="B1450" s="4" t="s">
        <v>658</v>
      </c>
      <c r="C1450" s="4" t="s">
        <v>3257</v>
      </c>
    </row>
    <row r="1451" spans="2:3">
      <c r="B1451" s="4" t="s">
        <v>659</v>
      </c>
      <c r="C1451" s="4" t="s">
        <v>3258</v>
      </c>
    </row>
    <row r="1452" spans="2:3">
      <c r="B1452" s="4" t="s">
        <v>660</v>
      </c>
      <c r="C1452" s="4" t="s">
        <v>3259</v>
      </c>
    </row>
    <row r="1453" spans="2:3">
      <c r="B1453" s="4" t="s">
        <v>3260</v>
      </c>
      <c r="C1453" s="4" t="s">
        <v>3261</v>
      </c>
    </row>
    <row r="1454" spans="2:3">
      <c r="B1454" s="4" t="s">
        <v>661</v>
      </c>
      <c r="C1454" s="4" t="s">
        <v>3262</v>
      </c>
    </row>
    <row r="1455" spans="2:3">
      <c r="B1455" s="4" t="s">
        <v>662</v>
      </c>
      <c r="C1455" s="4" t="s">
        <v>3263</v>
      </c>
    </row>
    <row r="1456" spans="2:3">
      <c r="B1456" s="4" t="s">
        <v>663</v>
      </c>
      <c r="C1456" s="4" t="s">
        <v>3264</v>
      </c>
    </row>
    <row r="1457" spans="2:3">
      <c r="B1457" s="4" t="s">
        <v>3265</v>
      </c>
      <c r="C1457" s="4" t="s">
        <v>3266</v>
      </c>
    </row>
    <row r="1458" spans="2:3">
      <c r="B1458" s="4" t="s">
        <v>3267</v>
      </c>
      <c r="C1458" s="4" t="s">
        <v>3268</v>
      </c>
    </row>
    <row r="1459" spans="2:3">
      <c r="B1459" s="4" t="s">
        <v>3269</v>
      </c>
      <c r="C1459" s="4" t="s">
        <v>3270</v>
      </c>
    </row>
    <row r="1460" spans="2:3">
      <c r="B1460" s="4" t="s">
        <v>3271</v>
      </c>
      <c r="C1460" s="4" t="s">
        <v>3272</v>
      </c>
    </row>
    <row r="1461" spans="2:3">
      <c r="B1461" s="4" t="s">
        <v>3273</v>
      </c>
      <c r="C1461" s="4" t="s">
        <v>3274</v>
      </c>
    </row>
    <row r="1462" spans="2:3">
      <c r="B1462" s="4" t="s">
        <v>3275</v>
      </c>
      <c r="C1462" s="4" t="s">
        <v>3276</v>
      </c>
    </row>
    <row r="1463" spans="2:3">
      <c r="B1463" s="4" t="s">
        <v>3277</v>
      </c>
      <c r="C1463" s="4" t="s">
        <v>3278</v>
      </c>
    </row>
    <row r="1464" spans="2:3">
      <c r="B1464" s="4" t="s">
        <v>3279</v>
      </c>
      <c r="C1464" s="4" t="s">
        <v>3280</v>
      </c>
    </row>
    <row r="1465" spans="2:3">
      <c r="B1465" s="4" t="s">
        <v>3281</v>
      </c>
      <c r="C1465" s="4" t="s">
        <v>3282</v>
      </c>
    </row>
    <row r="1466" spans="2:3">
      <c r="B1466" s="4" t="s">
        <v>3283</v>
      </c>
      <c r="C1466" s="4" t="s">
        <v>3284</v>
      </c>
    </row>
    <row r="1467" spans="2:3">
      <c r="B1467" s="4" t="s">
        <v>3285</v>
      </c>
      <c r="C1467" s="4" t="s">
        <v>3286</v>
      </c>
    </row>
    <row r="1468" spans="2:3">
      <c r="B1468" s="4" t="s">
        <v>3287</v>
      </c>
      <c r="C1468" s="4" t="s">
        <v>3288</v>
      </c>
    </row>
    <row r="1469" spans="2:3">
      <c r="B1469" s="4" t="s">
        <v>3289</v>
      </c>
      <c r="C1469" s="4" t="s">
        <v>3290</v>
      </c>
    </row>
    <row r="1470" spans="2:3">
      <c r="B1470" s="4" t="s">
        <v>3291</v>
      </c>
      <c r="C1470" s="4" t="s">
        <v>3292</v>
      </c>
    </row>
    <row r="1471" spans="2:3">
      <c r="B1471" s="4" t="s">
        <v>3293</v>
      </c>
      <c r="C1471" s="4" t="s">
        <v>3294</v>
      </c>
    </row>
    <row r="1472" spans="2:3">
      <c r="B1472" s="4" t="s">
        <v>3295</v>
      </c>
      <c r="C1472" s="4" t="s">
        <v>3296</v>
      </c>
    </row>
    <row r="1473" spans="2:3">
      <c r="B1473" s="4" t="s">
        <v>3297</v>
      </c>
      <c r="C1473" s="4" t="s">
        <v>3298</v>
      </c>
    </row>
    <row r="1474" spans="2:3">
      <c r="B1474" s="4" t="s">
        <v>3299</v>
      </c>
      <c r="C1474" s="4" t="s">
        <v>3300</v>
      </c>
    </row>
    <row r="1475" spans="2:3">
      <c r="B1475" s="4" t="s">
        <v>3301</v>
      </c>
      <c r="C1475" s="4" t="s">
        <v>3302</v>
      </c>
    </row>
    <row r="1476" spans="2:3">
      <c r="B1476" s="4" t="s">
        <v>3303</v>
      </c>
      <c r="C1476" s="4" t="s">
        <v>3304</v>
      </c>
    </row>
    <row r="1477" spans="2:3">
      <c r="B1477" s="4" t="s">
        <v>3305</v>
      </c>
      <c r="C1477" s="4" t="s">
        <v>3306</v>
      </c>
    </row>
    <row r="1478" spans="2:3">
      <c r="B1478" s="4" t="s">
        <v>3307</v>
      </c>
      <c r="C1478" s="4" t="s">
        <v>3308</v>
      </c>
    </row>
    <row r="1479" spans="2:3">
      <c r="B1479" s="4" t="s">
        <v>980</v>
      </c>
      <c r="C1479" s="4" t="s">
        <v>3309</v>
      </c>
    </row>
    <row r="1480" spans="2:3">
      <c r="B1480" s="4" t="s">
        <v>3310</v>
      </c>
      <c r="C1480" s="4" t="s">
        <v>3311</v>
      </c>
    </row>
    <row r="1481" spans="2:3">
      <c r="B1481" s="4" t="s">
        <v>3312</v>
      </c>
      <c r="C1481" s="4" t="s">
        <v>3313</v>
      </c>
    </row>
    <row r="1482" spans="2:3">
      <c r="B1482" s="4" t="s">
        <v>3314</v>
      </c>
      <c r="C1482" s="4" t="s">
        <v>3315</v>
      </c>
    </row>
    <row r="1483" spans="2:3">
      <c r="B1483" s="4" t="s">
        <v>3316</v>
      </c>
      <c r="C1483" s="4" t="s">
        <v>3317</v>
      </c>
    </row>
    <row r="1484" spans="2:3">
      <c r="B1484" s="4" t="s">
        <v>3318</v>
      </c>
      <c r="C1484" s="4" t="s">
        <v>3319</v>
      </c>
    </row>
    <row r="1485" spans="2:3">
      <c r="B1485" s="4" t="s">
        <v>3320</v>
      </c>
      <c r="C1485" s="4" t="s">
        <v>3321</v>
      </c>
    </row>
    <row r="1486" spans="2:3">
      <c r="B1486" s="4" t="s">
        <v>3322</v>
      </c>
      <c r="C1486" s="4" t="s">
        <v>3323</v>
      </c>
    </row>
    <row r="1487" spans="2:3">
      <c r="B1487" s="4" t="s">
        <v>3324</v>
      </c>
      <c r="C1487" s="4" t="s">
        <v>3325</v>
      </c>
    </row>
    <row r="1488" spans="2:3">
      <c r="B1488" s="4" t="s">
        <v>3326</v>
      </c>
      <c r="C1488" s="4" t="s">
        <v>3327</v>
      </c>
    </row>
    <row r="1489" spans="2:3">
      <c r="B1489" s="4" t="s">
        <v>3328</v>
      </c>
      <c r="C1489" s="4" t="s">
        <v>3329</v>
      </c>
    </row>
    <row r="1490" spans="2:3">
      <c r="B1490" s="4" t="s">
        <v>3330</v>
      </c>
      <c r="C1490" s="4" t="s">
        <v>3331</v>
      </c>
    </row>
    <row r="1491" spans="2:3">
      <c r="B1491" s="4" t="s">
        <v>3332</v>
      </c>
      <c r="C1491" s="4" t="s">
        <v>3333</v>
      </c>
    </row>
    <row r="1492" spans="2:3">
      <c r="B1492" s="4" t="s">
        <v>3334</v>
      </c>
      <c r="C1492" s="4" t="s">
        <v>3335</v>
      </c>
    </row>
    <row r="1493" spans="2:3">
      <c r="B1493" s="4" t="s">
        <v>3336</v>
      </c>
      <c r="C1493" s="4" t="s">
        <v>3337</v>
      </c>
    </row>
    <row r="1494" spans="2:3">
      <c r="B1494" s="4" t="s">
        <v>3338</v>
      </c>
      <c r="C1494" s="4" t="s">
        <v>3339</v>
      </c>
    </row>
    <row r="1495" spans="2:3">
      <c r="B1495" s="4" t="s">
        <v>3340</v>
      </c>
      <c r="C1495" s="4" t="s">
        <v>3341</v>
      </c>
    </row>
    <row r="1496" spans="2:3">
      <c r="B1496" s="4" t="s">
        <v>3342</v>
      </c>
      <c r="C1496" s="4" t="s">
        <v>3343</v>
      </c>
    </row>
    <row r="1497" spans="2:3">
      <c r="B1497" s="4" t="s">
        <v>982</v>
      </c>
      <c r="C1497" s="4" t="s">
        <v>3344</v>
      </c>
    </row>
    <row r="1498" spans="2:3">
      <c r="B1498" s="4" t="s">
        <v>983</v>
      </c>
      <c r="C1498" s="4" t="s">
        <v>3345</v>
      </c>
    </row>
    <row r="1499" spans="2:3">
      <c r="B1499" s="4" t="s">
        <v>984</v>
      </c>
      <c r="C1499" s="4" t="s">
        <v>3346</v>
      </c>
    </row>
    <row r="1500" spans="2:3">
      <c r="B1500" s="4" t="s">
        <v>985</v>
      </c>
      <c r="C1500" s="4" t="s">
        <v>3347</v>
      </c>
    </row>
    <row r="1501" spans="2:3">
      <c r="B1501" s="4" t="s">
        <v>1137</v>
      </c>
      <c r="C1501" s="4" t="s">
        <v>3348</v>
      </c>
    </row>
    <row r="1502" spans="2:3">
      <c r="B1502" s="4" t="s">
        <v>1138</v>
      </c>
      <c r="C1502" s="4" t="s">
        <v>3349</v>
      </c>
    </row>
    <row r="1503" spans="2:3">
      <c r="B1503" s="4" t="s">
        <v>1139</v>
      </c>
      <c r="C1503" s="4" t="s">
        <v>3350</v>
      </c>
    </row>
    <row r="1504" spans="2:3">
      <c r="B1504" s="4" t="s">
        <v>1140</v>
      </c>
      <c r="C1504" s="4" t="s">
        <v>3351</v>
      </c>
    </row>
    <row r="1505" spans="2:3">
      <c r="B1505" s="4" t="s">
        <v>1141</v>
      </c>
      <c r="C1505" s="4" t="s">
        <v>3352</v>
      </c>
    </row>
    <row r="1506" spans="2:3">
      <c r="B1506" s="4" t="s">
        <v>3353</v>
      </c>
      <c r="C1506" s="4" t="s">
        <v>3354</v>
      </c>
    </row>
    <row r="1507" spans="2:3">
      <c r="B1507" s="4" t="s">
        <v>3355</v>
      </c>
      <c r="C1507" s="4" t="s">
        <v>3356</v>
      </c>
    </row>
    <row r="1508" spans="2:3">
      <c r="B1508" s="4" t="s">
        <v>3357</v>
      </c>
      <c r="C1508" s="4" t="s">
        <v>3358</v>
      </c>
    </row>
    <row r="1509" spans="2:3">
      <c r="B1509" s="4" t="s">
        <v>3359</v>
      </c>
      <c r="C1509" s="4" t="s">
        <v>3360</v>
      </c>
    </row>
    <row r="1510" spans="2:3">
      <c r="B1510" s="4" t="s">
        <v>986</v>
      </c>
      <c r="C1510" s="4" t="s">
        <v>3361</v>
      </c>
    </row>
    <row r="1511" spans="2:3">
      <c r="B1511" s="4" t="s">
        <v>987</v>
      </c>
      <c r="C1511" s="4" t="s">
        <v>3362</v>
      </c>
    </row>
    <row r="1512" spans="2:3">
      <c r="B1512" s="4" t="s">
        <v>988</v>
      </c>
      <c r="C1512" s="4" t="s">
        <v>3363</v>
      </c>
    </row>
    <row r="1513" spans="2:3">
      <c r="B1513" s="4" t="s">
        <v>989</v>
      </c>
      <c r="C1513" s="4" t="s">
        <v>990</v>
      </c>
    </row>
    <row r="1514" spans="2:3">
      <c r="B1514" s="4" t="s">
        <v>991</v>
      </c>
      <c r="C1514" s="4" t="s">
        <v>992</v>
      </c>
    </row>
    <row r="1515" spans="2:3">
      <c r="B1515" s="4" t="s">
        <v>993</v>
      </c>
      <c r="C1515" s="4" t="s">
        <v>3364</v>
      </c>
    </row>
    <row r="1516" spans="2:3">
      <c r="B1516" s="4" t="s">
        <v>994</v>
      </c>
      <c r="C1516" s="4" t="s">
        <v>995</v>
      </c>
    </row>
    <row r="1517" spans="2:3">
      <c r="B1517" s="4" t="s">
        <v>996</v>
      </c>
      <c r="C1517" s="4" t="s">
        <v>3365</v>
      </c>
    </row>
    <row r="1518" spans="2:3">
      <c r="B1518" s="4" t="s">
        <v>1142</v>
      </c>
      <c r="C1518" s="4" t="s">
        <v>3366</v>
      </c>
    </row>
    <row r="1519" spans="2:3">
      <c r="B1519" s="4" t="s">
        <v>1143</v>
      </c>
      <c r="C1519" s="4" t="s">
        <v>3367</v>
      </c>
    </row>
    <row r="1520" spans="2:3">
      <c r="B1520" s="4" t="s">
        <v>1144</v>
      </c>
      <c r="C1520" s="4" t="s">
        <v>3368</v>
      </c>
    </row>
    <row r="1521" spans="2:3">
      <c r="B1521" s="4" t="s">
        <v>1145</v>
      </c>
      <c r="C1521" s="4" t="s">
        <v>3369</v>
      </c>
    </row>
    <row r="1522" spans="2:3">
      <c r="B1522" s="4" t="s">
        <v>1146</v>
      </c>
      <c r="C1522" s="4" t="s">
        <v>3370</v>
      </c>
    </row>
    <row r="1523" spans="2:3">
      <c r="B1523" s="4" t="s">
        <v>1148</v>
      </c>
      <c r="C1523" s="4" t="s">
        <v>3371</v>
      </c>
    </row>
    <row r="1524" spans="2:3">
      <c r="B1524" s="4" t="s">
        <v>1149</v>
      </c>
      <c r="C1524" s="4" t="s">
        <v>3372</v>
      </c>
    </row>
    <row r="1525" spans="2:3">
      <c r="B1525" s="4" t="s">
        <v>3373</v>
      </c>
      <c r="C1525" s="4" t="s">
        <v>3374</v>
      </c>
    </row>
    <row r="1526" spans="2:3">
      <c r="B1526" s="4" t="s">
        <v>3375</v>
      </c>
      <c r="C1526" s="4" t="s">
        <v>3376</v>
      </c>
    </row>
    <row r="1527" spans="2:3">
      <c r="B1527" s="4" t="s">
        <v>904</v>
      </c>
      <c r="C1527" s="4" t="s">
        <v>3377</v>
      </c>
    </row>
    <row r="1528" spans="2:3">
      <c r="B1528" s="4" t="s">
        <v>3378</v>
      </c>
      <c r="C1528" s="4" t="s">
        <v>3379</v>
      </c>
    </row>
    <row r="1529" spans="2:3">
      <c r="B1529" s="4" t="s">
        <v>3380</v>
      </c>
      <c r="C1529" s="4" t="s">
        <v>3381</v>
      </c>
    </row>
    <row r="1530" spans="2:3">
      <c r="B1530" s="4" t="s">
        <v>3382</v>
      </c>
      <c r="C1530" s="4" t="s">
        <v>3383</v>
      </c>
    </row>
    <row r="1531" spans="2:3">
      <c r="B1531" s="4" t="s">
        <v>905</v>
      </c>
      <c r="C1531" s="4" t="s">
        <v>3384</v>
      </c>
    </row>
    <row r="1532" spans="2:3">
      <c r="B1532" s="4" t="s">
        <v>3385</v>
      </c>
      <c r="C1532" s="4" t="s">
        <v>3386</v>
      </c>
    </row>
    <row r="1533" spans="2:3">
      <c r="B1533" s="4" t="s">
        <v>3387</v>
      </c>
      <c r="C1533" s="4" t="s">
        <v>3388</v>
      </c>
    </row>
    <row r="1534" spans="2:3">
      <c r="B1534" s="4" t="s">
        <v>3389</v>
      </c>
      <c r="C1534" s="4" t="s">
        <v>3390</v>
      </c>
    </row>
    <row r="1535" spans="2:3">
      <c r="B1535" s="4" t="s">
        <v>3391</v>
      </c>
      <c r="C1535" s="4" t="s">
        <v>3392</v>
      </c>
    </row>
    <row r="1536" spans="2:3">
      <c r="B1536" s="4" t="s">
        <v>3393</v>
      </c>
      <c r="C1536" s="4" t="s">
        <v>3394</v>
      </c>
    </row>
    <row r="1537" spans="2:3">
      <c r="B1537" s="4" t="s">
        <v>3395</v>
      </c>
      <c r="C1537" s="4" t="s">
        <v>3396</v>
      </c>
    </row>
    <row r="1538" spans="2:3">
      <c r="B1538" s="4" t="s">
        <v>3397</v>
      </c>
      <c r="C1538" s="4" t="s">
        <v>3398</v>
      </c>
    </row>
    <row r="1539" spans="2:3">
      <c r="B1539" s="4" t="s">
        <v>3399</v>
      </c>
      <c r="C1539" s="4" t="s">
        <v>3400</v>
      </c>
    </row>
    <row r="1540" spans="2:3">
      <c r="B1540" s="4" t="s">
        <v>3401</v>
      </c>
      <c r="C1540" s="4" t="s">
        <v>3402</v>
      </c>
    </row>
    <row r="1541" spans="2:3">
      <c r="B1541" s="4" t="s">
        <v>3403</v>
      </c>
      <c r="C1541" s="4" t="s">
        <v>3404</v>
      </c>
    </row>
    <row r="1542" spans="2:3">
      <c r="B1542" s="4" t="s">
        <v>3405</v>
      </c>
      <c r="C1542" s="4" t="s">
        <v>3406</v>
      </c>
    </row>
    <row r="1543" spans="2:3">
      <c r="B1543" s="4" t="s">
        <v>3407</v>
      </c>
      <c r="C1543" s="4" t="s">
        <v>3408</v>
      </c>
    </row>
    <row r="1544" spans="2:3">
      <c r="B1544" s="4" t="s">
        <v>3409</v>
      </c>
      <c r="C1544" s="4" t="s">
        <v>3410</v>
      </c>
    </row>
    <row r="1545" spans="2:3">
      <c r="B1545" s="4" t="s">
        <v>223</v>
      </c>
      <c r="C1545" s="4" t="s">
        <v>3411</v>
      </c>
    </row>
    <row r="1546" spans="2:3">
      <c r="B1546" s="4" t="s">
        <v>225</v>
      </c>
      <c r="C1546" s="4" t="s">
        <v>3412</v>
      </c>
    </row>
    <row r="1547" spans="2:3">
      <c r="B1547" s="4" t="s">
        <v>227</v>
      </c>
      <c r="C1547" s="4" t="s">
        <v>3413</v>
      </c>
    </row>
    <row r="1548" spans="2:3">
      <c r="B1548" s="4" t="s">
        <v>228</v>
      </c>
      <c r="C1548" s="4" t="s">
        <v>3414</v>
      </c>
    </row>
    <row r="1549" spans="2:3">
      <c r="B1549" s="4" t="s">
        <v>3415</v>
      </c>
      <c r="C1549" s="4" t="s">
        <v>3416</v>
      </c>
    </row>
    <row r="1550" spans="2:3">
      <c r="B1550" s="4" t="s">
        <v>229</v>
      </c>
      <c r="C1550" s="4" t="s">
        <v>3417</v>
      </c>
    </row>
    <row r="1551" spans="2:3">
      <c r="B1551" s="4" t="s">
        <v>230</v>
      </c>
      <c r="C1551" s="4" t="s">
        <v>3418</v>
      </c>
    </row>
    <row r="1552" spans="2:3">
      <c r="B1552" s="4" t="s">
        <v>231</v>
      </c>
      <c r="C1552" s="4" t="s">
        <v>3419</v>
      </c>
    </row>
    <row r="1553" spans="2:3">
      <c r="B1553" s="4" t="s">
        <v>3420</v>
      </c>
      <c r="C1553" s="4" t="s">
        <v>3421</v>
      </c>
    </row>
    <row r="1554" spans="2:3">
      <c r="B1554" s="4" t="s">
        <v>233</v>
      </c>
      <c r="C1554" s="4" t="s">
        <v>3422</v>
      </c>
    </row>
    <row r="1555" spans="2:3">
      <c r="B1555" s="4" t="s">
        <v>3423</v>
      </c>
      <c r="C1555" s="4" t="s">
        <v>3424</v>
      </c>
    </row>
    <row r="1556" spans="2:3">
      <c r="B1556" s="4" t="s">
        <v>3425</v>
      </c>
      <c r="C1556" s="4" t="s">
        <v>3426</v>
      </c>
    </row>
    <row r="1557" spans="2:3">
      <c r="B1557" s="4" t="s">
        <v>234</v>
      </c>
      <c r="C1557" s="4" t="s">
        <v>3427</v>
      </c>
    </row>
    <row r="1558" spans="2:3">
      <c r="B1558" s="4" t="s">
        <v>3428</v>
      </c>
      <c r="C1558" s="4" t="s">
        <v>3429</v>
      </c>
    </row>
    <row r="1559" spans="2:3">
      <c r="B1559" s="4" t="s">
        <v>3430</v>
      </c>
      <c r="C1559" s="4" t="s">
        <v>3431</v>
      </c>
    </row>
    <row r="1560" spans="2:3">
      <c r="B1560" s="4" t="s">
        <v>382</v>
      </c>
      <c r="C1560" s="4" t="s">
        <v>3432</v>
      </c>
    </row>
    <row r="1561" spans="2:3">
      <c r="B1561" s="4" t="s">
        <v>383</v>
      </c>
      <c r="C1561" s="4" t="s">
        <v>3433</v>
      </c>
    </row>
    <row r="1562" spans="2:3">
      <c r="B1562" s="4" t="s">
        <v>384</v>
      </c>
      <c r="C1562" s="4" t="s">
        <v>3434</v>
      </c>
    </row>
    <row r="1563" spans="2:3">
      <c r="B1563" s="4" t="s">
        <v>385</v>
      </c>
      <c r="C1563" s="4" t="s">
        <v>3435</v>
      </c>
    </row>
    <row r="1564" spans="2:3">
      <c r="B1564" s="4" t="s">
        <v>386</v>
      </c>
      <c r="C1564" s="4" t="s">
        <v>3436</v>
      </c>
    </row>
    <row r="1565" spans="2:3">
      <c r="B1565" s="4" t="s">
        <v>387</v>
      </c>
      <c r="C1565" s="4" t="s">
        <v>3437</v>
      </c>
    </row>
    <row r="1566" spans="2:3">
      <c r="B1566" s="4" t="s">
        <v>3438</v>
      </c>
      <c r="C1566" s="4" t="s">
        <v>3439</v>
      </c>
    </row>
    <row r="1567" spans="2:3">
      <c r="B1567" s="4" t="s">
        <v>3440</v>
      </c>
      <c r="C1567" s="4" t="s">
        <v>3441</v>
      </c>
    </row>
    <row r="1568" spans="2:3">
      <c r="B1568" s="4" t="s">
        <v>3442</v>
      </c>
      <c r="C1568" s="4" t="s">
        <v>3443</v>
      </c>
    </row>
    <row r="1569" spans="2:3">
      <c r="B1569" s="4" t="s">
        <v>3444</v>
      </c>
      <c r="C1569" s="4" t="s">
        <v>3445</v>
      </c>
    </row>
    <row r="1570" spans="2:3">
      <c r="B1570" s="4" t="s">
        <v>3446</v>
      </c>
      <c r="C1570" s="4" t="s">
        <v>3447</v>
      </c>
    </row>
    <row r="1571" spans="2:3">
      <c r="B1571" s="4" t="s">
        <v>3448</v>
      </c>
      <c r="C1571" s="4" t="s">
        <v>3449</v>
      </c>
    </row>
    <row r="1572" spans="2:3">
      <c r="B1572" s="4" t="s">
        <v>3450</v>
      </c>
      <c r="C1572" s="4" t="s">
        <v>3451</v>
      </c>
    </row>
    <row r="1573" spans="2:3">
      <c r="B1573" s="4" t="s">
        <v>3452</v>
      </c>
      <c r="C1573" s="4" t="s">
        <v>3453</v>
      </c>
    </row>
    <row r="1574" spans="2:3">
      <c r="B1574" s="4" t="s">
        <v>3454</v>
      </c>
      <c r="C1574" s="4" t="s">
        <v>3455</v>
      </c>
    </row>
    <row r="1575" spans="2:3">
      <c r="B1575" s="4" t="s">
        <v>3456</v>
      </c>
      <c r="C1575" s="4" t="s">
        <v>3457</v>
      </c>
    </row>
    <row r="1576" spans="2:3">
      <c r="B1576" s="4" t="s">
        <v>3458</v>
      </c>
      <c r="C1576" s="4" t="s">
        <v>3459</v>
      </c>
    </row>
    <row r="1577" spans="2:3">
      <c r="B1577" s="4" t="s">
        <v>3460</v>
      </c>
      <c r="C1577" s="4" t="s">
        <v>3461</v>
      </c>
    </row>
    <row r="1578" spans="2:3">
      <c r="B1578" s="4" t="s">
        <v>3462</v>
      </c>
      <c r="C1578" s="4" t="s">
        <v>3463</v>
      </c>
    </row>
    <row r="1579" spans="2:3">
      <c r="B1579" s="4" t="s">
        <v>3464</v>
      </c>
      <c r="C1579" s="4" t="s">
        <v>3465</v>
      </c>
    </row>
    <row r="1580" spans="2:3">
      <c r="B1580" s="4" t="s">
        <v>3466</v>
      </c>
      <c r="C1580" s="4" t="s">
        <v>3467</v>
      </c>
    </row>
    <row r="1581" spans="2:3">
      <c r="B1581" s="4" t="s">
        <v>3468</v>
      </c>
      <c r="C1581" s="4" t="s">
        <v>3469</v>
      </c>
    </row>
    <row r="1582" spans="2:3">
      <c r="B1582" s="4" t="s">
        <v>3470</v>
      </c>
      <c r="C1582" s="4" t="s">
        <v>3471</v>
      </c>
    </row>
    <row r="1583" spans="2:3">
      <c r="B1583" s="4" t="s">
        <v>3472</v>
      </c>
      <c r="C1583" s="4" t="s">
        <v>3473</v>
      </c>
    </row>
    <row r="1584" spans="2:3">
      <c r="B1584" s="4" t="s">
        <v>3474</v>
      </c>
      <c r="C1584" s="4" t="s">
        <v>3475</v>
      </c>
    </row>
    <row r="1585" spans="2:3">
      <c r="B1585" s="4" t="s">
        <v>3476</v>
      </c>
      <c r="C1585" s="4" t="s">
        <v>3477</v>
      </c>
    </row>
    <row r="1586" spans="2:3">
      <c r="B1586" s="4" t="s">
        <v>3478</v>
      </c>
      <c r="C1586" s="4" t="s">
        <v>3479</v>
      </c>
    </row>
    <row r="1587" spans="2:3">
      <c r="B1587" s="4" t="s">
        <v>3480</v>
      </c>
      <c r="C1587" s="4" t="s">
        <v>3481</v>
      </c>
    </row>
    <row r="1588" spans="2:3">
      <c r="B1588" s="4" t="s">
        <v>3482</v>
      </c>
      <c r="C1588" s="4" t="s">
        <v>3483</v>
      </c>
    </row>
    <row r="1589" spans="2:3">
      <c r="B1589" s="4" t="s">
        <v>3484</v>
      </c>
      <c r="C1589" s="4" t="s">
        <v>3485</v>
      </c>
    </row>
    <row r="1590" spans="2:3">
      <c r="B1590" s="4" t="s">
        <v>3486</v>
      </c>
      <c r="C1590" s="4" t="s">
        <v>3487</v>
      </c>
    </row>
    <row r="1591" spans="2:3">
      <c r="B1591" s="4" t="s">
        <v>3488</v>
      </c>
      <c r="C1591" s="4" t="s">
        <v>3489</v>
      </c>
    </row>
    <row r="1592" spans="2:3">
      <c r="B1592" s="4" t="s">
        <v>3490</v>
      </c>
      <c r="C1592" s="4" t="s">
        <v>3491</v>
      </c>
    </row>
    <row r="1593" spans="2:3">
      <c r="B1593" s="4" t="s">
        <v>3492</v>
      </c>
      <c r="C1593" s="4" t="s">
        <v>3493</v>
      </c>
    </row>
    <row r="1594" spans="2:3">
      <c r="B1594" s="4" t="s">
        <v>3494</v>
      </c>
      <c r="C1594" s="4" t="s">
        <v>3495</v>
      </c>
    </row>
    <row r="1595" spans="2:3">
      <c r="B1595" s="4" t="s">
        <v>3496</v>
      </c>
      <c r="C1595" s="4" t="s">
        <v>3497</v>
      </c>
    </row>
    <row r="1596" spans="2:3">
      <c r="B1596" s="4" t="s">
        <v>3498</v>
      </c>
      <c r="C1596" s="4" t="s">
        <v>3499</v>
      </c>
    </row>
    <row r="1597" spans="2:3">
      <c r="B1597" s="4" t="s">
        <v>3500</v>
      </c>
      <c r="C1597" s="4" t="s">
        <v>3501</v>
      </c>
    </row>
    <row r="1598" spans="2:3">
      <c r="B1598" s="4" t="s">
        <v>3502</v>
      </c>
      <c r="C1598" s="4" t="s">
        <v>3503</v>
      </c>
    </row>
    <row r="1599" spans="2:3">
      <c r="B1599" s="4" t="s">
        <v>3504</v>
      </c>
      <c r="C1599" s="4" t="s">
        <v>3505</v>
      </c>
    </row>
    <row r="1600" spans="2:3">
      <c r="B1600" s="4" t="s">
        <v>3506</v>
      </c>
      <c r="C1600" s="4" t="s">
        <v>3507</v>
      </c>
    </row>
    <row r="1601" spans="2:3">
      <c r="B1601" s="4" t="s">
        <v>3508</v>
      </c>
      <c r="C1601" s="4" t="s">
        <v>3509</v>
      </c>
    </row>
    <row r="1602" spans="2:3">
      <c r="B1602" s="4" t="s">
        <v>906</v>
      </c>
      <c r="C1602" s="4" t="s">
        <v>3510</v>
      </c>
    </row>
    <row r="1603" spans="2:3">
      <c r="B1603" s="4" t="s">
        <v>3511</v>
      </c>
      <c r="C1603" s="4" t="s">
        <v>3512</v>
      </c>
    </row>
    <row r="1604" spans="2:3">
      <c r="B1604" s="4" t="s">
        <v>3513</v>
      </c>
      <c r="C1604" s="4" t="s">
        <v>3514</v>
      </c>
    </row>
    <row r="1605" spans="2:3">
      <c r="B1605" s="4" t="s">
        <v>3515</v>
      </c>
      <c r="C1605" s="4" t="s">
        <v>3516</v>
      </c>
    </row>
    <row r="1606" spans="2:3">
      <c r="B1606" s="4" t="s">
        <v>3517</v>
      </c>
      <c r="C1606" s="4" t="s">
        <v>3518</v>
      </c>
    </row>
    <row r="1607" spans="2:3">
      <c r="B1607" s="4" t="s">
        <v>3519</v>
      </c>
      <c r="C1607" s="4" t="s">
        <v>3520</v>
      </c>
    </row>
    <row r="1608" spans="2:3">
      <c r="B1608" s="4" t="s">
        <v>3521</v>
      </c>
      <c r="C1608" s="4" t="s">
        <v>3522</v>
      </c>
    </row>
    <row r="1609" spans="2:3">
      <c r="B1609" s="4" t="s">
        <v>3523</v>
      </c>
      <c r="C1609" s="4" t="s">
        <v>3524</v>
      </c>
    </row>
    <row r="1610" spans="2:3">
      <c r="B1610" s="4" t="s">
        <v>3525</v>
      </c>
      <c r="C1610" s="4" t="s">
        <v>3526</v>
      </c>
    </row>
    <row r="1611" spans="2:3">
      <c r="B1611" s="4" t="s">
        <v>3527</v>
      </c>
      <c r="C1611" s="4" t="s">
        <v>3528</v>
      </c>
    </row>
    <row r="1612" spans="2:3">
      <c r="B1612" s="4" t="s">
        <v>3529</v>
      </c>
      <c r="C1612" s="4" t="s">
        <v>3530</v>
      </c>
    </row>
    <row r="1613" spans="2:3">
      <c r="B1613" s="4" t="s">
        <v>3531</v>
      </c>
      <c r="C1613" s="4" t="s">
        <v>3532</v>
      </c>
    </row>
    <row r="1614" spans="2:3">
      <c r="B1614" s="4" t="s">
        <v>3533</v>
      </c>
      <c r="C1614" s="4" t="s">
        <v>3534</v>
      </c>
    </row>
    <row r="1615" spans="2:3">
      <c r="B1615" s="4" t="s">
        <v>3535</v>
      </c>
      <c r="C1615" s="4" t="s">
        <v>3536</v>
      </c>
    </row>
    <row r="1616" spans="2:3">
      <c r="B1616" s="4" t="s">
        <v>3537</v>
      </c>
      <c r="C1616" s="4" t="s">
        <v>3538</v>
      </c>
    </row>
    <row r="1617" spans="2:3">
      <c r="B1617" s="4" t="s">
        <v>3539</v>
      </c>
      <c r="C1617" s="4" t="s">
        <v>3540</v>
      </c>
    </row>
    <row r="1618" spans="2:3">
      <c r="B1618" s="4" t="s">
        <v>3541</v>
      </c>
      <c r="C1618" s="4" t="s">
        <v>3542</v>
      </c>
    </row>
    <row r="1619" spans="2:3">
      <c r="B1619" s="4" t="s">
        <v>3543</v>
      </c>
      <c r="C1619" s="4" t="s">
        <v>3544</v>
      </c>
    </row>
    <row r="1620" spans="2:3">
      <c r="B1620" s="4" t="s">
        <v>907</v>
      </c>
      <c r="C1620" s="4" t="s">
        <v>3545</v>
      </c>
    </row>
    <row r="1621" spans="2:3">
      <c r="B1621" s="4" t="s">
        <v>3546</v>
      </c>
      <c r="C1621" s="4" t="s">
        <v>3547</v>
      </c>
    </row>
    <row r="1622" spans="2:3">
      <c r="B1622" s="4" t="s">
        <v>3548</v>
      </c>
      <c r="C1622" s="4" t="s">
        <v>3549</v>
      </c>
    </row>
    <row r="1623" spans="2:3">
      <c r="B1623" s="4" t="s">
        <v>3550</v>
      </c>
      <c r="C1623" s="4" t="s">
        <v>3551</v>
      </c>
    </row>
    <row r="1624" spans="2:3">
      <c r="B1624" s="4" t="s">
        <v>3552</v>
      </c>
      <c r="C1624" s="4" t="s">
        <v>3553</v>
      </c>
    </row>
    <row r="1625" spans="2:3">
      <c r="B1625" s="4" t="s">
        <v>3554</v>
      </c>
      <c r="C1625" s="4" t="s">
        <v>3555</v>
      </c>
    </row>
    <row r="1626" spans="2:3">
      <c r="B1626" s="4" t="s">
        <v>3556</v>
      </c>
      <c r="C1626" s="4" t="s">
        <v>3557</v>
      </c>
    </row>
    <row r="1627" spans="2:3">
      <c r="B1627" s="4" t="s">
        <v>3558</v>
      </c>
      <c r="C1627" s="4" t="s">
        <v>3559</v>
      </c>
    </row>
    <row r="1628" spans="2:3">
      <c r="B1628" s="4" t="s">
        <v>3560</v>
      </c>
      <c r="C1628" s="4" t="s">
        <v>3561</v>
      </c>
    </row>
    <row r="1629" spans="2:3">
      <c r="B1629" s="4" t="s">
        <v>3562</v>
      </c>
      <c r="C1629" s="4" t="s">
        <v>3563</v>
      </c>
    </row>
    <row r="1630" spans="2:3">
      <c r="B1630" s="4" t="s">
        <v>3564</v>
      </c>
      <c r="C1630" s="4" t="s">
        <v>3565</v>
      </c>
    </row>
    <row r="1631" spans="2:3">
      <c r="B1631" s="4" t="s">
        <v>1343</v>
      </c>
      <c r="C1631" s="4" t="s">
        <v>3566</v>
      </c>
    </row>
    <row r="1632" spans="2:3">
      <c r="B1632" s="4" t="s">
        <v>3567</v>
      </c>
      <c r="C1632" s="4" t="s">
        <v>3568</v>
      </c>
    </row>
    <row r="1633" spans="2:3">
      <c r="B1633" s="4" t="s">
        <v>3569</v>
      </c>
      <c r="C1633" s="4" t="s">
        <v>3570</v>
      </c>
    </row>
    <row r="1634" spans="2:3">
      <c r="B1634" s="4" t="s">
        <v>3571</v>
      </c>
      <c r="C1634" s="4" t="s">
        <v>3572</v>
      </c>
    </row>
    <row r="1635" spans="2:3">
      <c r="B1635" s="4" t="s">
        <v>3573</v>
      </c>
      <c r="C1635" s="4" t="s">
        <v>3574</v>
      </c>
    </row>
    <row r="1636" spans="2:3">
      <c r="B1636" s="4" t="s">
        <v>3575</v>
      </c>
      <c r="C1636" s="4" t="s">
        <v>3576</v>
      </c>
    </row>
    <row r="1637" spans="2:3">
      <c r="B1637" s="4" t="s">
        <v>3577</v>
      </c>
      <c r="C1637" s="4" t="s">
        <v>3578</v>
      </c>
    </row>
    <row r="1638" spans="2:3">
      <c r="B1638" s="4" t="s">
        <v>3579</v>
      </c>
      <c r="C1638" s="4" t="s">
        <v>3580</v>
      </c>
    </row>
    <row r="1639" spans="2:3">
      <c r="B1639" s="4" t="s">
        <v>3581</v>
      </c>
      <c r="C1639" s="4" t="s">
        <v>3582</v>
      </c>
    </row>
    <row r="1640" spans="2:3">
      <c r="B1640" s="4" t="s">
        <v>3583</v>
      </c>
      <c r="C1640" s="4" t="s">
        <v>3584</v>
      </c>
    </row>
    <row r="1641" spans="2:3">
      <c r="B1641" s="4" t="s">
        <v>908</v>
      </c>
      <c r="C1641" s="4" t="s">
        <v>3585</v>
      </c>
    </row>
    <row r="1642" spans="2:3">
      <c r="B1642" s="4" t="s">
        <v>3586</v>
      </c>
      <c r="C1642" s="4" t="s">
        <v>3587</v>
      </c>
    </row>
    <row r="1643" spans="2:3">
      <c r="B1643" s="4" t="s">
        <v>3588</v>
      </c>
      <c r="C1643" s="4" t="s">
        <v>3589</v>
      </c>
    </row>
    <row r="1644" spans="2:3">
      <c r="B1644" s="4" t="s">
        <v>3590</v>
      </c>
      <c r="C1644" s="4" t="s">
        <v>3591</v>
      </c>
    </row>
    <row r="1645" spans="2:3">
      <c r="B1645" s="4" t="s">
        <v>3592</v>
      </c>
      <c r="C1645" s="4" t="s">
        <v>3593</v>
      </c>
    </row>
    <row r="1646" spans="2:3">
      <c r="B1646" s="4" t="s">
        <v>3594</v>
      </c>
      <c r="C1646" s="4" t="s">
        <v>3595</v>
      </c>
    </row>
    <row r="1647" spans="2:3">
      <c r="B1647" s="4" t="s">
        <v>3596</v>
      </c>
      <c r="C1647" s="4" t="s">
        <v>3597</v>
      </c>
    </row>
    <row r="1648" spans="2:3">
      <c r="B1648" s="4" t="s">
        <v>3598</v>
      </c>
      <c r="C1648" s="4" t="s">
        <v>3599</v>
      </c>
    </row>
    <row r="1649" spans="2:3">
      <c r="B1649" s="4" t="s">
        <v>3600</v>
      </c>
      <c r="C1649" s="4" t="s">
        <v>3601</v>
      </c>
    </row>
    <row r="1650" spans="2:3">
      <c r="B1650" s="4" t="s">
        <v>3602</v>
      </c>
      <c r="C1650" s="4" t="s">
        <v>3603</v>
      </c>
    </row>
    <row r="1651" spans="2:3">
      <c r="B1651" s="4" t="s">
        <v>3604</v>
      </c>
      <c r="C1651" s="4" t="s">
        <v>3605</v>
      </c>
    </row>
    <row r="1652" spans="2:3">
      <c r="B1652" s="4" t="s">
        <v>1150</v>
      </c>
      <c r="C1652" s="4" t="s">
        <v>3606</v>
      </c>
    </row>
    <row r="1653" spans="2:3">
      <c r="B1653" s="4" t="s">
        <v>1151</v>
      </c>
      <c r="C1653" s="4" t="s">
        <v>3607</v>
      </c>
    </row>
    <row r="1654" spans="2:3">
      <c r="B1654" s="4" t="s">
        <v>1152</v>
      </c>
      <c r="C1654" s="4" t="s">
        <v>3608</v>
      </c>
    </row>
    <row r="1655" spans="2:3">
      <c r="B1655" s="4" t="s">
        <v>1153</v>
      </c>
      <c r="C1655" s="4" t="s">
        <v>3609</v>
      </c>
    </row>
    <row r="1656" spans="2:3">
      <c r="B1656" s="4" t="s">
        <v>1154</v>
      </c>
      <c r="C1656" s="4" t="s">
        <v>3610</v>
      </c>
    </row>
    <row r="1657" spans="2:3">
      <c r="B1657" s="4" t="s">
        <v>1155</v>
      </c>
      <c r="C1657" s="4" t="s">
        <v>3611</v>
      </c>
    </row>
    <row r="1658" spans="2:3">
      <c r="B1658" s="4" t="s">
        <v>1156</v>
      </c>
      <c r="C1658" s="4" t="s">
        <v>3612</v>
      </c>
    </row>
    <row r="1659" spans="2:3">
      <c r="B1659" s="4" t="s">
        <v>1157</v>
      </c>
      <c r="C1659" s="4" t="s">
        <v>3613</v>
      </c>
    </row>
    <row r="1660" spans="2:3">
      <c r="B1660" s="4" t="s">
        <v>1158</v>
      </c>
      <c r="C1660" s="4" t="s">
        <v>3614</v>
      </c>
    </row>
    <row r="1661" spans="2:3">
      <c r="B1661" s="4" t="s">
        <v>1159</v>
      </c>
      <c r="C1661" s="4" t="s">
        <v>3615</v>
      </c>
    </row>
    <row r="1662" spans="2:3">
      <c r="B1662" s="4" t="s">
        <v>1324</v>
      </c>
      <c r="C1662" s="4" t="s">
        <v>3616</v>
      </c>
    </row>
    <row r="1663" spans="2:3">
      <c r="B1663" s="4" t="s">
        <v>1325</v>
      </c>
      <c r="C1663" s="4" t="s">
        <v>3617</v>
      </c>
    </row>
    <row r="1664" spans="2:3">
      <c r="B1664" s="4" t="s">
        <v>1326</v>
      </c>
      <c r="C1664" s="4" t="s">
        <v>3618</v>
      </c>
    </row>
    <row r="1665" spans="2:3">
      <c r="B1665" s="4" t="s">
        <v>1327</v>
      </c>
      <c r="C1665" s="4" t="s">
        <v>3619</v>
      </c>
    </row>
    <row r="1666" spans="2:3">
      <c r="B1666" s="4" t="s">
        <v>3620</v>
      </c>
      <c r="C1666" s="4" t="s">
        <v>3621</v>
      </c>
    </row>
    <row r="1667" spans="2:3">
      <c r="B1667" s="4" t="s">
        <v>3622</v>
      </c>
      <c r="C1667" s="4" t="s">
        <v>3623</v>
      </c>
    </row>
    <row r="1668" spans="2:3">
      <c r="B1668" s="4" t="s">
        <v>3624</v>
      </c>
      <c r="C1668" s="4" t="s">
        <v>3625</v>
      </c>
    </row>
    <row r="1669" spans="2:3">
      <c r="B1669" s="4" t="s">
        <v>3626</v>
      </c>
      <c r="C1669" s="4" t="s">
        <v>3627</v>
      </c>
    </row>
    <row r="1670" spans="2:3">
      <c r="B1670" s="4" t="s">
        <v>3628</v>
      </c>
      <c r="C1670" s="4" t="s">
        <v>3629</v>
      </c>
    </row>
    <row r="1671" spans="2:3">
      <c r="B1671" s="4" t="s">
        <v>309</v>
      </c>
      <c r="C1671" s="4" t="s">
        <v>3630</v>
      </c>
    </row>
    <row r="1672" spans="2:3">
      <c r="B1672" s="4" t="s">
        <v>3631</v>
      </c>
      <c r="C1672" s="4" t="s">
        <v>3632</v>
      </c>
    </row>
    <row r="1673" spans="2:3">
      <c r="B1673" s="4" t="s">
        <v>310</v>
      </c>
      <c r="C1673" s="4" t="s">
        <v>3633</v>
      </c>
    </row>
    <row r="1674" spans="2:3">
      <c r="B1674" s="4" t="s">
        <v>868</v>
      </c>
      <c r="C1674" s="4" t="s">
        <v>3634</v>
      </c>
    </row>
    <row r="1675" spans="2:3">
      <c r="B1675" s="4" t="s">
        <v>3635</v>
      </c>
      <c r="C1675" s="4" t="s">
        <v>3636</v>
      </c>
    </row>
    <row r="1676" spans="2:3">
      <c r="B1676" s="4" t="s">
        <v>869</v>
      </c>
      <c r="C1676" s="4" t="s">
        <v>3637</v>
      </c>
    </row>
    <row r="1677" spans="2:3">
      <c r="B1677" s="4" t="s">
        <v>3638</v>
      </c>
      <c r="C1677" s="4" t="s">
        <v>3639</v>
      </c>
    </row>
    <row r="1678" spans="2:3">
      <c r="B1678" s="4" t="s">
        <v>3640</v>
      </c>
      <c r="C1678" s="4" t="s">
        <v>3641</v>
      </c>
    </row>
    <row r="1679" spans="2:3">
      <c r="B1679" s="4" t="s">
        <v>3642</v>
      </c>
      <c r="C1679" s="4" t="s">
        <v>3643</v>
      </c>
    </row>
    <row r="1680" spans="2:3">
      <c r="B1680" s="4" t="s">
        <v>870</v>
      </c>
      <c r="C1680" s="4" t="s">
        <v>3644</v>
      </c>
    </row>
    <row r="1681" spans="2:3">
      <c r="B1681" s="4" t="s">
        <v>3645</v>
      </c>
      <c r="C1681" s="4" t="s">
        <v>871</v>
      </c>
    </row>
    <row r="1682" spans="2:3">
      <c r="B1682" s="4" t="s">
        <v>3646</v>
      </c>
      <c r="C1682" s="4" t="s">
        <v>909</v>
      </c>
    </row>
    <row r="1683" spans="2:3">
      <c r="B1683" s="4" t="s">
        <v>3647</v>
      </c>
      <c r="C1683" s="4" t="s">
        <v>3648</v>
      </c>
    </row>
    <row r="1684" spans="2:3">
      <c r="B1684" s="4" t="s">
        <v>3649</v>
      </c>
      <c r="C1684" s="4" t="s">
        <v>3650</v>
      </c>
    </row>
    <row r="1685" spans="2:3">
      <c r="B1685" s="4" t="s">
        <v>311</v>
      </c>
      <c r="C1685" s="4" t="s">
        <v>3651</v>
      </c>
    </row>
    <row r="1686" spans="2:3">
      <c r="B1686" s="4" t="s">
        <v>312</v>
      </c>
      <c r="C1686" s="4" t="s">
        <v>3652</v>
      </c>
    </row>
    <row r="1687" spans="2:3">
      <c r="B1687" s="4" t="s">
        <v>313</v>
      </c>
      <c r="C1687" s="4" t="s">
        <v>3653</v>
      </c>
    </row>
    <row r="1688" spans="2:3">
      <c r="B1688" s="4" t="s">
        <v>3654</v>
      </c>
      <c r="C1688" s="4" t="s">
        <v>3655</v>
      </c>
    </row>
    <row r="1689" spans="2:3">
      <c r="B1689" s="4" t="s">
        <v>3656</v>
      </c>
      <c r="C1689" s="4" t="s">
        <v>3657</v>
      </c>
    </row>
    <row r="1690" spans="2:3">
      <c r="B1690" s="4" t="s">
        <v>3658</v>
      </c>
      <c r="C1690" s="4" t="s">
        <v>3659</v>
      </c>
    </row>
    <row r="1691" spans="2:3">
      <c r="B1691" s="4" t="s">
        <v>766</v>
      </c>
      <c r="C1691" s="4" t="s">
        <v>3660</v>
      </c>
    </row>
    <row r="1692" spans="2:3">
      <c r="B1692" s="4" t="s">
        <v>3661</v>
      </c>
      <c r="C1692" s="4" t="s">
        <v>3662</v>
      </c>
    </row>
    <row r="1693" spans="2:3">
      <c r="B1693" s="4" t="s">
        <v>3663</v>
      </c>
      <c r="C1693" s="4" t="s">
        <v>3664</v>
      </c>
    </row>
    <row r="1694" spans="2:3">
      <c r="B1694" s="4" t="s">
        <v>3665</v>
      </c>
      <c r="C1694" s="4" t="s">
        <v>3666</v>
      </c>
    </row>
    <row r="1695" spans="2:3">
      <c r="B1695" s="4" t="s">
        <v>3667</v>
      </c>
      <c r="C1695" s="4" t="s">
        <v>3668</v>
      </c>
    </row>
    <row r="1696" spans="2:3">
      <c r="B1696" s="4" t="s">
        <v>3669</v>
      </c>
      <c r="C1696" s="4" t="s">
        <v>3670</v>
      </c>
    </row>
    <row r="1697" spans="2:3">
      <c r="B1697" s="4" t="s">
        <v>3671</v>
      </c>
      <c r="C1697" s="4" t="s">
        <v>3672</v>
      </c>
    </row>
    <row r="1698" spans="2:3">
      <c r="B1698" s="4" t="s">
        <v>3673</v>
      </c>
      <c r="C1698" s="4" t="s">
        <v>3674</v>
      </c>
    </row>
    <row r="1699" spans="2:3">
      <c r="B1699" s="4" t="s">
        <v>3675</v>
      </c>
      <c r="C1699" s="4" t="s">
        <v>3676</v>
      </c>
    </row>
    <row r="1700" spans="2:3">
      <c r="B1700" s="4" t="s">
        <v>3677</v>
      </c>
      <c r="C1700" s="4" t="s">
        <v>3678</v>
      </c>
    </row>
    <row r="1701" spans="2:3">
      <c r="B1701" s="4" t="s">
        <v>3679</v>
      </c>
      <c r="C1701" s="4" t="s">
        <v>3680</v>
      </c>
    </row>
    <row r="1702" spans="2:3">
      <c r="B1702" s="4" t="s">
        <v>3681</v>
      </c>
      <c r="C1702" s="4" t="s">
        <v>3682</v>
      </c>
    </row>
    <row r="1703" spans="2:3">
      <c r="B1703" s="4" t="s">
        <v>767</v>
      </c>
      <c r="C1703" s="4" t="s">
        <v>3683</v>
      </c>
    </row>
    <row r="1704" spans="2:3">
      <c r="B1704" s="4" t="s">
        <v>768</v>
      </c>
      <c r="C1704" s="4" t="s">
        <v>3684</v>
      </c>
    </row>
    <row r="1705" spans="2:3">
      <c r="B1705" s="4" t="s">
        <v>769</v>
      </c>
      <c r="C1705" s="4" t="s">
        <v>3685</v>
      </c>
    </row>
    <row r="1706" spans="2:3">
      <c r="B1706" s="4" t="s">
        <v>770</v>
      </c>
      <c r="C1706" s="4" t="s">
        <v>3686</v>
      </c>
    </row>
    <row r="1707" spans="2:3">
      <c r="B1707" s="4" t="s">
        <v>3687</v>
      </c>
      <c r="C1707" s="4" t="s">
        <v>3688</v>
      </c>
    </row>
    <row r="1708" spans="2:3">
      <c r="B1708" s="4" t="s">
        <v>3689</v>
      </c>
      <c r="C1708" s="4" t="s">
        <v>3690</v>
      </c>
    </row>
    <row r="1709" spans="2:3">
      <c r="B1709" s="4" t="s">
        <v>3691</v>
      </c>
      <c r="C1709" s="4" t="s">
        <v>3692</v>
      </c>
    </row>
    <row r="1710" spans="2:3">
      <c r="B1710" s="4" t="s">
        <v>3693</v>
      </c>
      <c r="C1710" s="4" t="s">
        <v>3694</v>
      </c>
    </row>
    <row r="1711" spans="2:3">
      <c r="B1711" s="4" t="s">
        <v>3695</v>
      </c>
      <c r="C1711" s="4" t="s">
        <v>3696</v>
      </c>
    </row>
    <row r="1712" spans="2:3">
      <c r="B1712" s="4" t="s">
        <v>3697</v>
      </c>
      <c r="C1712" s="4" t="s">
        <v>3698</v>
      </c>
    </row>
    <row r="1713" spans="2:3">
      <c r="B1713" s="4" t="s">
        <v>3699</v>
      </c>
      <c r="C1713" s="4" t="s">
        <v>3700</v>
      </c>
    </row>
    <row r="1714" spans="2:3">
      <c r="B1714" s="4" t="s">
        <v>3701</v>
      </c>
      <c r="C1714" s="4" t="s">
        <v>3702</v>
      </c>
    </row>
    <row r="1715" spans="2:3">
      <c r="B1715" s="4" t="s">
        <v>1197</v>
      </c>
      <c r="C1715" s="4" t="s">
        <v>3703</v>
      </c>
    </row>
    <row r="1716" spans="2:3">
      <c r="B1716" s="4" t="s">
        <v>1198</v>
      </c>
      <c r="C1716" s="4" t="s">
        <v>3704</v>
      </c>
    </row>
    <row r="1717" spans="2:3">
      <c r="B1717" s="4" t="s">
        <v>1199</v>
      </c>
      <c r="C1717" s="4" t="s">
        <v>3705</v>
      </c>
    </row>
    <row r="1718" spans="2:3">
      <c r="B1718" s="4" t="s">
        <v>1200</v>
      </c>
      <c r="C1718" s="4" t="s">
        <v>3706</v>
      </c>
    </row>
    <row r="1719" spans="2:3">
      <c r="B1719" s="4" t="s">
        <v>3707</v>
      </c>
      <c r="C1719" s="4" t="s">
        <v>3708</v>
      </c>
    </row>
    <row r="1720" spans="2:3">
      <c r="B1720" s="4" t="s">
        <v>1201</v>
      </c>
      <c r="C1720" s="4" t="s">
        <v>3709</v>
      </c>
    </row>
    <row r="1721" spans="2:3">
      <c r="B1721" s="4" t="s">
        <v>1202</v>
      </c>
      <c r="C1721" s="4" t="s">
        <v>3710</v>
      </c>
    </row>
    <row r="1722" spans="2:3">
      <c r="B1722" s="4" t="s">
        <v>1203</v>
      </c>
      <c r="C1722" s="4" t="s">
        <v>3711</v>
      </c>
    </row>
    <row r="1723" spans="2:3">
      <c r="B1723" s="4" t="s">
        <v>1328</v>
      </c>
      <c r="C1723" s="4" t="s">
        <v>3712</v>
      </c>
    </row>
    <row r="1724" spans="2:3">
      <c r="B1724" s="4" t="s">
        <v>1329</v>
      </c>
      <c r="C1724" s="4" t="s">
        <v>3713</v>
      </c>
    </row>
    <row r="1725" spans="2:3">
      <c r="B1725" s="4" t="s">
        <v>1330</v>
      </c>
      <c r="C1725" s="4" t="s">
        <v>3714</v>
      </c>
    </row>
    <row r="1726" spans="2:3">
      <c r="B1726" s="4" t="s">
        <v>1331</v>
      </c>
      <c r="C1726" s="4" t="s">
        <v>3715</v>
      </c>
    </row>
    <row r="1727" spans="2:3">
      <c r="B1727" s="4" t="s">
        <v>1332</v>
      </c>
      <c r="C1727" s="4" t="s">
        <v>3716</v>
      </c>
    </row>
    <row r="1728" spans="2:3">
      <c r="B1728" s="4" t="s">
        <v>3717</v>
      </c>
      <c r="C1728" s="4" t="s">
        <v>3718</v>
      </c>
    </row>
    <row r="1729" spans="2:3">
      <c r="B1729" s="4" t="s">
        <v>3719</v>
      </c>
      <c r="C1729" s="4" t="s">
        <v>3720</v>
      </c>
    </row>
    <row r="1730" spans="2:3">
      <c r="B1730" s="4" t="s">
        <v>3721</v>
      </c>
      <c r="C1730" s="4" t="s">
        <v>3722</v>
      </c>
    </row>
    <row r="1731" spans="2:3">
      <c r="B1731" s="4" t="s">
        <v>601</v>
      </c>
      <c r="C1731" s="4" t="s">
        <v>3723</v>
      </c>
    </row>
    <row r="1732" spans="2:3">
      <c r="B1732" s="4" t="s">
        <v>602</v>
      </c>
      <c r="C1732" s="4" t="s">
        <v>3724</v>
      </c>
    </row>
    <row r="1733" spans="2:3">
      <c r="B1733" s="4" t="s">
        <v>3725</v>
      </c>
      <c r="C1733" s="4" t="s">
        <v>3726</v>
      </c>
    </row>
    <row r="1734" spans="2:3">
      <c r="B1734" s="4" t="s">
        <v>1333</v>
      </c>
      <c r="C1734" s="4" t="s">
        <v>3727</v>
      </c>
    </row>
    <row r="1735" spans="2:3">
      <c r="B1735" s="4" t="s">
        <v>3728</v>
      </c>
      <c r="C1735" s="4" t="s">
        <v>3729</v>
      </c>
    </row>
    <row r="1736" spans="2:3">
      <c r="B1736" s="4" t="s">
        <v>3730</v>
      </c>
      <c r="C1736" s="4" t="s">
        <v>3731</v>
      </c>
    </row>
    <row r="1737" spans="2:3">
      <c r="B1737" s="4" t="s">
        <v>3732</v>
      </c>
      <c r="C1737" s="4" t="s">
        <v>3733</v>
      </c>
    </row>
    <row r="1738" spans="2:3">
      <c r="B1738" s="4" t="s">
        <v>3734</v>
      </c>
      <c r="C1738" s="4" t="s">
        <v>3735</v>
      </c>
    </row>
    <row r="1739" spans="2:3">
      <c r="B1739" s="4" t="s">
        <v>3736</v>
      </c>
      <c r="C1739" s="4" t="s">
        <v>3737</v>
      </c>
    </row>
    <row r="1740" spans="2:3">
      <c r="B1740" s="4" t="s">
        <v>3738</v>
      </c>
      <c r="C1740" s="4" t="s">
        <v>3739</v>
      </c>
    </row>
    <row r="1741" spans="2:3">
      <c r="B1741" s="4" t="s">
        <v>945</v>
      </c>
      <c r="C1741" s="4" t="s">
        <v>946</v>
      </c>
    </row>
    <row r="1742" spans="2:3">
      <c r="B1742" s="4" t="s">
        <v>947</v>
      </c>
      <c r="C1742" s="4" t="s">
        <v>3740</v>
      </c>
    </row>
    <row r="1743" spans="2:3">
      <c r="B1743" s="4" t="s">
        <v>3741</v>
      </c>
      <c r="C1743" s="4" t="s">
        <v>3742</v>
      </c>
    </row>
    <row r="1744" spans="2:3">
      <c r="B1744" s="4" t="s">
        <v>3743</v>
      </c>
      <c r="C1744" s="4" t="s">
        <v>3744</v>
      </c>
    </row>
    <row r="1745" spans="2:3">
      <c r="B1745" s="4" t="s">
        <v>3745</v>
      </c>
      <c r="C1745" s="4" t="s">
        <v>3746</v>
      </c>
    </row>
    <row r="1746" spans="2:3">
      <c r="B1746" s="4" t="s">
        <v>3747</v>
      </c>
      <c r="C1746" s="4" t="s">
        <v>3748</v>
      </c>
    </row>
    <row r="1747" spans="2:3">
      <c r="B1747" s="4" t="s">
        <v>603</v>
      </c>
      <c r="C1747" s="4" t="s">
        <v>3749</v>
      </c>
    </row>
    <row r="1748" spans="2:3">
      <c r="B1748" s="4" t="s">
        <v>604</v>
      </c>
      <c r="C1748" s="4" t="s">
        <v>3750</v>
      </c>
    </row>
    <row r="1749" spans="2:3">
      <c r="B1749" s="4" t="s">
        <v>605</v>
      </c>
      <c r="C1749" s="4" t="s">
        <v>3751</v>
      </c>
    </row>
    <row r="1750" spans="2:3">
      <c r="B1750" s="4" t="s">
        <v>606</v>
      </c>
      <c r="C1750" s="4" t="s">
        <v>3752</v>
      </c>
    </row>
    <row r="1751" spans="2:3">
      <c r="B1751" s="4" t="s">
        <v>607</v>
      </c>
      <c r="C1751" s="4" t="s">
        <v>3753</v>
      </c>
    </row>
    <row r="1752" spans="2:3">
      <c r="B1752" s="4" t="s">
        <v>3754</v>
      </c>
      <c r="C1752" s="4" t="s">
        <v>3755</v>
      </c>
    </row>
    <row r="1753" spans="2:3">
      <c r="B1753" s="4" t="s">
        <v>3756</v>
      </c>
      <c r="C1753" s="4" t="s">
        <v>3757</v>
      </c>
    </row>
    <row r="1754" spans="2:3">
      <c r="B1754" s="4" t="s">
        <v>609</v>
      </c>
      <c r="C1754" s="4" t="s">
        <v>3758</v>
      </c>
    </row>
    <row r="1755" spans="2:3">
      <c r="B1755" s="4" t="s">
        <v>610</v>
      </c>
      <c r="C1755" s="4" t="s">
        <v>3759</v>
      </c>
    </row>
    <row r="1756" spans="2:3">
      <c r="B1756" s="4" t="s">
        <v>611</v>
      </c>
      <c r="C1756" s="4" t="s">
        <v>3760</v>
      </c>
    </row>
    <row r="1757" spans="2:3">
      <c r="B1757" s="4" t="s">
        <v>612</v>
      </c>
      <c r="C1757" s="4" t="s">
        <v>3761</v>
      </c>
    </row>
    <row r="1758" spans="2:3">
      <c r="B1758" s="4" t="s">
        <v>613</v>
      </c>
      <c r="C1758" s="4" t="s">
        <v>3762</v>
      </c>
    </row>
    <row r="1759" spans="2:3">
      <c r="B1759" s="4" t="s">
        <v>614</v>
      </c>
      <c r="C1759" s="4" t="s">
        <v>3763</v>
      </c>
    </row>
    <row r="1760" spans="2:3">
      <c r="B1760" s="4" t="s">
        <v>615</v>
      </c>
      <c r="C1760" s="4" t="s">
        <v>3764</v>
      </c>
    </row>
    <row r="1761" spans="2:3">
      <c r="B1761" s="4" t="s">
        <v>616</v>
      </c>
      <c r="C1761" s="4" t="s">
        <v>3765</v>
      </c>
    </row>
    <row r="1762" spans="2:3">
      <c r="B1762" s="4" t="s">
        <v>617</v>
      </c>
      <c r="C1762" s="4" t="s">
        <v>3766</v>
      </c>
    </row>
    <row r="1763" spans="2:3">
      <c r="B1763" s="4" t="s">
        <v>618</v>
      </c>
      <c r="C1763" s="4" t="s">
        <v>3767</v>
      </c>
    </row>
    <row r="1764" spans="2:3">
      <c r="B1764" s="4" t="s">
        <v>619</v>
      </c>
      <c r="C1764" s="4" t="s">
        <v>3768</v>
      </c>
    </row>
    <row r="1765" spans="2:3">
      <c r="B1765" s="4" t="s">
        <v>3769</v>
      </c>
      <c r="C1765" s="4" t="s">
        <v>3770</v>
      </c>
    </row>
    <row r="1766" spans="2:3">
      <c r="B1766" s="4" t="s">
        <v>3771</v>
      </c>
      <c r="C1766" s="4" t="s">
        <v>3772</v>
      </c>
    </row>
    <row r="1767" spans="2:3">
      <c r="B1767" s="4" t="s">
        <v>3773</v>
      </c>
      <c r="C1767" s="4" t="s">
        <v>3774</v>
      </c>
    </row>
    <row r="1768" spans="2:3">
      <c r="B1768" s="4" t="s">
        <v>3775</v>
      </c>
      <c r="C1768" s="4" t="s">
        <v>3776</v>
      </c>
    </row>
    <row r="1769" spans="2:3">
      <c r="B1769" s="4" t="s">
        <v>620</v>
      </c>
      <c r="C1769" s="4" t="s">
        <v>3777</v>
      </c>
    </row>
    <row r="1770" spans="2:3">
      <c r="B1770" s="4" t="s">
        <v>621</v>
      </c>
      <c r="C1770" s="4" t="s">
        <v>3778</v>
      </c>
    </row>
    <row r="1771" spans="2:3">
      <c r="B1771" s="4" t="s">
        <v>622</v>
      </c>
      <c r="C1771" s="4" t="s">
        <v>3779</v>
      </c>
    </row>
    <row r="1772" spans="2:3">
      <c r="B1772" s="4" t="s">
        <v>3780</v>
      </c>
      <c r="C1772" s="4" t="s">
        <v>3781</v>
      </c>
    </row>
    <row r="1773" spans="2:3">
      <c r="B1773" s="4" t="s">
        <v>3782</v>
      </c>
      <c r="C1773" s="4" t="s">
        <v>3783</v>
      </c>
    </row>
    <row r="1774" spans="2:3">
      <c r="B1774" s="4" t="s">
        <v>3784</v>
      </c>
      <c r="C1774" s="4" t="s">
        <v>3785</v>
      </c>
    </row>
    <row r="1775" spans="2:3">
      <c r="B1775" s="4" t="s">
        <v>3786</v>
      </c>
      <c r="C1775" s="4" t="s">
        <v>3787</v>
      </c>
    </row>
    <row r="1776" spans="2:3">
      <c r="B1776" s="4" t="s">
        <v>3788</v>
      </c>
      <c r="C1776" s="4" t="s">
        <v>3789</v>
      </c>
    </row>
    <row r="1777" spans="2:3">
      <c r="B1777" s="4" t="s">
        <v>3790</v>
      </c>
      <c r="C1777" s="4" t="s">
        <v>3791</v>
      </c>
    </row>
    <row r="1778" spans="2:3">
      <c r="B1778" s="4" t="s">
        <v>3792</v>
      </c>
      <c r="C1778" s="4" t="s">
        <v>3793</v>
      </c>
    </row>
    <row r="1779" spans="2:3">
      <c r="B1779" s="4" t="s">
        <v>3794</v>
      </c>
      <c r="C1779" s="4" t="s">
        <v>3795</v>
      </c>
    </row>
    <row r="1780" spans="2:3">
      <c r="B1780" s="4" t="s">
        <v>3796</v>
      </c>
      <c r="C1780" s="4" t="s">
        <v>3797</v>
      </c>
    </row>
    <row r="1781" spans="2:3">
      <c r="B1781" s="4" t="s">
        <v>3798</v>
      </c>
      <c r="C1781" s="4" t="s">
        <v>3799</v>
      </c>
    </row>
    <row r="1782" spans="2:3">
      <c r="B1782" s="4" t="s">
        <v>3800</v>
      </c>
      <c r="C1782" s="4" t="s">
        <v>3801</v>
      </c>
    </row>
    <row r="1783" spans="2:3">
      <c r="B1783" s="4" t="s">
        <v>3802</v>
      </c>
      <c r="C1783" s="4" t="s">
        <v>3803</v>
      </c>
    </row>
    <row r="1784" spans="2:3">
      <c r="B1784" s="4" t="s">
        <v>3804</v>
      </c>
      <c r="C1784" s="4" t="s">
        <v>3805</v>
      </c>
    </row>
    <row r="1785" spans="2:3">
      <c r="B1785" s="4" t="s">
        <v>686</v>
      </c>
      <c r="C1785" s="4" t="s">
        <v>3806</v>
      </c>
    </row>
    <row r="1786" spans="2:3">
      <c r="B1786" s="4" t="s">
        <v>687</v>
      </c>
      <c r="C1786" s="4" t="s">
        <v>3807</v>
      </c>
    </row>
    <row r="1787" spans="2:3">
      <c r="B1787" s="4" t="s">
        <v>3808</v>
      </c>
      <c r="C1787" s="4" t="s">
        <v>3809</v>
      </c>
    </row>
    <row r="1788" spans="2:3">
      <c r="B1788" s="4" t="s">
        <v>688</v>
      </c>
      <c r="C1788" s="4" t="s">
        <v>3810</v>
      </c>
    </row>
    <row r="1789" spans="2:3">
      <c r="B1789" s="4" t="s">
        <v>689</v>
      </c>
      <c r="C1789" s="4" t="s">
        <v>3811</v>
      </c>
    </row>
    <row r="1790" spans="2:3">
      <c r="B1790" s="4" t="s">
        <v>3812</v>
      </c>
      <c r="C1790" s="4" t="s">
        <v>3813</v>
      </c>
    </row>
    <row r="1791" spans="2:3">
      <c r="B1791" s="4" t="s">
        <v>690</v>
      </c>
      <c r="C1791" s="4" t="s">
        <v>3814</v>
      </c>
    </row>
    <row r="1792" spans="2:3">
      <c r="B1792" s="4" t="s">
        <v>691</v>
      </c>
      <c r="C1792" s="4" t="s">
        <v>3815</v>
      </c>
    </row>
    <row r="1793" spans="2:3">
      <c r="B1793" s="4" t="s">
        <v>3816</v>
      </c>
      <c r="C1793" s="4" t="s">
        <v>3817</v>
      </c>
    </row>
    <row r="1794" spans="2:3">
      <c r="B1794" s="4" t="s">
        <v>3818</v>
      </c>
      <c r="C1794" s="4" t="s">
        <v>3819</v>
      </c>
    </row>
    <row r="1795" spans="2:3">
      <c r="B1795" s="4" t="s">
        <v>3820</v>
      </c>
      <c r="C1795" s="4" t="s">
        <v>3821</v>
      </c>
    </row>
    <row r="1796" spans="2:3">
      <c r="B1796" s="4" t="s">
        <v>3822</v>
      </c>
      <c r="C1796" s="4" t="s">
        <v>3823</v>
      </c>
    </row>
    <row r="1797" spans="2:3">
      <c r="B1797" s="4" t="s">
        <v>3824</v>
      </c>
      <c r="C1797" s="4" t="s">
        <v>3825</v>
      </c>
    </row>
    <row r="1798" spans="2:3">
      <c r="B1798" s="4" t="s">
        <v>3826</v>
      </c>
      <c r="C1798" s="4" t="s">
        <v>3827</v>
      </c>
    </row>
    <row r="1799" spans="2:3">
      <c r="B1799" s="4" t="s">
        <v>3828</v>
      </c>
      <c r="C1799" s="4" t="s">
        <v>3829</v>
      </c>
    </row>
    <row r="1800" spans="2:3">
      <c r="B1800" s="4" t="s">
        <v>3830</v>
      </c>
      <c r="C1800" s="4" t="s">
        <v>3831</v>
      </c>
    </row>
    <row r="1801" spans="2:3">
      <c r="B1801" s="4" t="s">
        <v>3832</v>
      </c>
      <c r="C1801" s="4" t="s">
        <v>3833</v>
      </c>
    </row>
    <row r="1802" spans="2:3">
      <c r="B1802" s="4" t="s">
        <v>3834</v>
      </c>
      <c r="C1802" s="4" t="s">
        <v>3835</v>
      </c>
    </row>
    <row r="1803" spans="2:3">
      <c r="B1803" s="4" t="s">
        <v>3836</v>
      </c>
      <c r="C1803" s="4" t="s">
        <v>3837</v>
      </c>
    </row>
    <row r="1804" spans="2:3">
      <c r="B1804" s="4" t="s">
        <v>3838</v>
      </c>
      <c r="C1804" s="4" t="s">
        <v>3839</v>
      </c>
    </row>
    <row r="1805" spans="2:3">
      <c r="B1805" s="4" t="s">
        <v>3840</v>
      </c>
      <c r="C1805" s="4" t="s">
        <v>3841</v>
      </c>
    </row>
    <row r="1806" spans="2:3">
      <c r="B1806" s="4" t="s">
        <v>3842</v>
      </c>
      <c r="C1806" s="4" t="s">
        <v>3843</v>
      </c>
    </row>
    <row r="1807" spans="2:3">
      <c r="B1807" s="4" t="s">
        <v>1345</v>
      </c>
      <c r="C1807" s="4" t="s">
        <v>3844</v>
      </c>
    </row>
    <row r="1808" spans="2:3">
      <c r="B1808" s="4" t="s">
        <v>1346</v>
      </c>
      <c r="C1808" s="4" t="s">
        <v>3845</v>
      </c>
    </row>
    <row r="1809" spans="2:3">
      <c r="B1809" s="4" t="s">
        <v>1347</v>
      </c>
      <c r="C1809" s="4" t="s">
        <v>3846</v>
      </c>
    </row>
    <row r="1810" spans="2:3">
      <c r="B1810" s="4" t="s">
        <v>623</v>
      </c>
      <c r="C1810" s="4" t="s">
        <v>3847</v>
      </c>
    </row>
    <row r="1811" spans="2:3">
      <c r="B1811" s="4" t="s">
        <v>624</v>
      </c>
      <c r="C1811" s="4" t="s">
        <v>3848</v>
      </c>
    </row>
    <row r="1812" spans="2:3">
      <c r="B1812" s="4" t="s">
        <v>3849</v>
      </c>
      <c r="C1812" s="4" t="s">
        <v>3850</v>
      </c>
    </row>
    <row r="1813" spans="2:3">
      <c r="B1813" s="4" t="s">
        <v>625</v>
      </c>
      <c r="C1813" s="4" t="s">
        <v>3851</v>
      </c>
    </row>
    <row r="1814" spans="2:3">
      <c r="B1814" s="4" t="s">
        <v>3852</v>
      </c>
      <c r="C1814" s="4" t="s">
        <v>3853</v>
      </c>
    </row>
    <row r="1815" spans="2:3">
      <c r="B1815" s="4" t="s">
        <v>626</v>
      </c>
      <c r="C1815" s="4" t="s">
        <v>3854</v>
      </c>
    </row>
    <row r="1816" spans="2:3">
      <c r="B1816" s="4" t="s">
        <v>3855</v>
      </c>
      <c r="C1816" s="4" t="s">
        <v>3856</v>
      </c>
    </row>
    <row r="1817" spans="2:3">
      <c r="B1817" s="4" t="s">
        <v>3857</v>
      </c>
      <c r="C1817" s="4" t="s">
        <v>3858</v>
      </c>
    </row>
    <row r="1818" spans="2:3">
      <c r="B1818" s="4" t="s">
        <v>3859</v>
      </c>
      <c r="C1818" s="4" t="s">
        <v>3860</v>
      </c>
    </row>
    <row r="1819" spans="2:3">
      <c r="B1819" s="4" t="s">
        <v>3861</v>
      </c>
      <c r="C1819" s="4" t="s">
        <v>3862</v>
      </c>
    </row>
    <row r="1820" spans="2:3">
      <c r="B1820" s="4" t="s">
        <v>3863</v>
      </c>
      <c r="C1820" s="4" t="s">
        <v>3864</v>
      </c>
    </row>
    <row r="1821" spans="2:3">
      <c r="B1821" s="4" t="s">
        <v>3865</v>
      </c>
      <c r="C1821" s="4" t="s">
        <v>3866</v>
      </c>
    </row>
    <row r="1822" spans="2:3">
      <c r="B1822" s="4" t="s">
        <v>3867</v>
      </c>
      <c r="C1822" s="4" t="s">
        <v>3868</v>
      </c>
    </row>
    <row r="1823" spans="2:3">
      <c r="B1823" s="4" t="s">
        <v>3869</v>
      </c>
      <c r="C1823" s="4" t="s">
        <v>3870</v>
      </c>
    </row>
    <row r="1824" spans="2:3">
      <c r="B1824" s="4" t="s">
        <v>910</v>
      </c>
      <c r="C1824" s="4" t="s">
        <v>3871</v>
      </c>
    </row>
    <row r="1825" spans="2:3">
      <c r="B1825" s="4" t="s">
        <v>3872</v>
      </c>
      <c r="C1825" s="4" t="s">
        <v>3873</v>
      </c>
    </row>
    <row r="1826" spans="2:3">
      <c r="B1826" s="4" t="s">
        <v>3874</v>
      </c>
      <c r="C1826" s="4" t="s">
        <v>3875</v>
      </c>
    </row>
    <row r="1827" spans="2:3">
      <c r="B1827" s="4" t="s">
        <v>3876</v>
      </c>
      <c r="C1827" s="4" t="s">
        <v>3877</v>
      </c>
    </row>
    <row r="1828" spans="2:3">
      <c r="B1828" s="4" t="s">
        <v>3878</v>
      </c>
      <c r="C1828" s="4" t="s">
        <v>3879</v>
      </c>
    </row>
    <row r="1829" spans="2:3">
      <c r="B1829" s="4" t="s">
        <v>3880</v>
      </c>
      <c r="C1829" s="4" t="s">
        <v>3881</v>
      </c>
    </row>
    <row r="1830" spans="2:3">
      <c r="B1830" s="4" t="s">
        <v>3882</v>
      </c>
      <c r="C1830" s="4" t="s">
        <v>3883</v>
      </c>
    </row>
    <row r="1831" spans="2:3">
      <c r="B1831" s="4" t="s">
        <v>3884</v>
      </c>
      <c r="C1831" s="4" t="s">
        <v>3885</v>
      </c>
    </row>
    <row r="1832" spans="2:3">
      <c r="B1832" s="4" t="s">
        <v>3886</v>
      </c>
      <c r="C1832" s="4" t="s">
        <v>3887</v>
      </c>
    </row>
    <row r="1833" spans="2:3">
      <c r="B1833" s="4" t="s">
        <v>3888</v>
      </c>
      <c r="C1833" s="4" t="s">
        <v>3889</v>
      </c>
    </row>
    <row r="1834" spans="2:3">
      <c r="B1834" s="4" t="s">
        <v>3890</v>
      </c>
      <c r="C1834" s="4" t="s">
        <v>3891</v>
      </c>
    </row>
    <row r="1835" spans="2:3">
      <c r="B1835" s="4" t="s">
        <v>3892</v>
      </c>
      <c r="C1835" s="4" t="s">
        <v>3893</v>
      </c>
    </row>
    <row r="1836" spans="2:3">
      <c r="B1836" s="4" t="s">
        <v>3894</v>
      </c>
      <c r="C1836" s="4" t="s">
        <v>3895</v>
      </c>
    </row>
    <row r="1837" spans="2:3">
      <c r="B1837" s="4" t="s">
        <v>3896</v>
      </c>
      <c r="C1837" s="4" t="s">
        <v>3897</v>
      </c>
    </row>
    <row r="1838" spans="2:3">
      <c r="B1838" s="4" t="s">
        <v>3898</v>
      </c>
      <c r="C1838" s="4" t="s">
        <v>3899</v>
      </c>
    </row>
    <row r="1839" spans="2:3">
      <c r="B1839" s="4" t="s">
        <v>3900</v>
      </c>
      <c r="C1839" s="4" t="s">
        <v>3901</v>
      </c>
    </row>
    <row r="1840" spans="2:3">
      <c r="B1840" s="4" t="s">
        <v>3902</v>
      </c>
      <c r="C1840" s="4" t="s">
        <v>3903</v>
      </c>
    </row>
    <row r="1841" spans="2:3">
      <c r="B1841" s="4" t="s">
        <v>3904</v>
      </c>
      <c r="C1841" s="4" t="s">
        <v>3905</v>
      </c>
    </row>
    <row r="1842" spans="2:3">
      <c r="B1842" s="4" t="s">
        <v>3906</v>
      </c>
      <c r="C1842" s="4" t="s">
        <v>3907</v>
      </c>
    </row>
    <row r="1843" spans="2:3">
      <c r="B1843" s="4" t="s">
        <v>3908</v>
      </c>
      <c r="C1843" s="4" t="s">
        <v>3909</v>
      </c>
    </row>
    <row r="1844" spans="2:3">
      <c r="B1844" s="4" t="s">
        <v>3910</v>
      </c>
      <c r="C1844" s="4" t="s">
        <v>3911</v>
      </c>
    </row>
    <row r="1845" spans="2:3">
      <c r="B1845" s="4" t="s">
        <v>3912</v>
      </c>
      <c r="C1845" s="4" t="s">
        <v>3913</v>
      </c>
    </row>
    <row r="1846" spans="2:3">
      <c r="B1846" s="4" t="s">
        <v>781</v>
      </c>
      <c r="C1846" s="4" t="s">
        <v>3914</v>
      </c>
    </row>
    <row r="1847" spans="2:3">
      <c r="B1847" s="4" t="s">
        <v>782</v>
      </c>
      <c r="C1847" s="4" t="s">
        <v>3915</v>
      </c>
    </row>
    <row r="1848" spans="2:3">
      <c r="B1848" s="4" t="s">
        <v>783</v>
      </c>
      <c r="C1848" s="4" t="s">
        <v>3916</v>
      </c>
    </row>
    <row r="1849" spans="2:3">
      <c r="B1849" s="4" t="s">
        <v>784</v>
      </c>
      <c r="C1849" s="4" t="s">
        <v>3917</v>
      </c>
    </row>
    <row r="1850" spans="2:3">
      <c r="B1850" s="4" t="s">
        <v>785</v>
      </c>
      <c r="C1850" s="4" t="s">
        <v>3918</v>
      </c>
    </row>
    <row r="1851" spans="2:3">
      <c r="B1851" s="4" t="s">
        <v>787</v>
      </c>
      <c r="C1851" s="4" t="s">
        <v>3919</v>
      </c>
    </row>
    <row r="1852" spans="2:3">
      <c r="B1852" s="4" t="s">
        <v>788</v>
      </c>
      <c r="C1852" s="4" t="s">
        <v>3920</v>
      </c>
    </row>
    <row r="1853" spans="2:3">
      <c r="B1853" s="4" t="s">
        <v>789</v>
      </c>
      <c r="C1853" s="4" t="s">
        <v>3921</v>
      </c>
    </row>
    <row r="1854" spans="2:3">
      <c r="B1854" s="4" t="s">
        <v>790</v>
      </c>
      <c r="C1854" s="4" t="s">
        <v>3922</v>
      </c>
    </row>
    <row r="1855" spans="2:3">
      <c r="B1855" s="4" t="s">
        <v>791</v>
      </c>
      <c r="C1855" s="4" t="s">
        <v>3923</v>
      </c>
    </row>
    <row r="1856" spans="2:3">
      <c r="B1856" s="4" t="s">
        <v>792</v>
      </c>
      <c r="C1856" s="4" t="s">
        <v>3924</v>
      </c>
    </row>
    <row r="1857" spans="2:3">
      <c r="B1857" s="4" t="s">
        <v>3925</v>
      </c>
      <c r="C1857" s="4" t="s">
        <v>3926</v>
      </c>
    </row>
    <row r="1858" spans="2:3">
      <c r="B1858" s="4" t="s">
        <v>3927</v>
      </c>
      <c r="C1858" s="4" t="s">
        <v>3928</v>
      </c>
    </row>
    <row r="1859" spans="2:3">
      <c r="B1859" s="4" t="s">
        <v>3929</v>
      </c>
      <c r="C1859" s="4" t="s">
        <v>3930</v>
      </c>
    </row>
    <row r="1860" spans="2:3">
      <c r="B1860" s="4" t="s">
        <v>3931</v>
      </c>
      <c r="C1860" s="4" t="s">
        <v>3932</v>
      </c>
    </row>
    <row r="1861" spans="2:3">
      <c r="B1861" s="4" t="s">
        <v>3933</v>
      </c>
      <c r="C1861" s="4" t="s">
        <v>3934</v>
      </c>
    </row>
    <row r="1862" spans="2:3">
      <c r="B1862" s="4" t="s">
        <v>3935</v>
      </c>
      <c r="C1862" s="4" t="s">
        <v>3936</v>
      </c>
    </row>
    <row r="1863" spans="2:3">
      <c r="B1863" s="4" t="s">
        <v>3937</v>
      </c>
      <c r="C1863" s="4" t="s">
        <v>3938</v>
      </c>
    </row>
    <row r="1864" spans="2:3">
      <c r="B1864" s="4" t="s">
        <v>3939</v>
      </c>
      <c r="C1864" s="4" t="s">
        <v>3940</v>
      </c>
    </row>
    <row r="1865" spans="2:3">
      <c r="B1865" s="4" t="s">
        <v>3941</v>
      </c>
      <c r="C1865" s="4" t="s">
        <v>3942</v>
      </c>
    </row>
    <row r="1866" spans="2:3">
      <c r="B1866" s="4" t="s">
        <v>3943</v>
      </c>
      <c r="C1866" s="4" t="s">
        <v>3944</v>
      </c>
    </row>
    <row r="1867" spans="2:3">
      <c r="B1867" s="4" t="s">
        <v>3945</v>
      </c>
      <c r="C1867" s="4" t="s">
        <v>3946</v>
      </c>
    </row>
    <row r="1868" spans="2:3">
      <c r="B1868" s="4" t="s">
        <v>3947</v>
      </c>
      <c r="C1868" s="4" t="s">
        <v>3948</v>
      </c>
    </row>
    <row r="1869" spans="2:3">
      <c r="B1869" s="4" t="s">
        <v>3949</v>
      </c>
      <c r="C1869" s="4" t="s">
        <v>3950</v>
      </c>
    </row>
    <row r="1870" spans="2:3">
      <c r="B1870" s="4" t="s">
        <v>3951</v>
      </c>
      <c r="C1870" s="4" t="s">
        <v>3952</v>
      </c>
    </row>
    <row r="1871" spans="2:3">
      <c r="B1871" s="4" t="s">
        <v>3953</v>
      </c>
      <c r="C1871" s="4" t="s">
        <v>3954</v>
      </c>
    </row>
    <row r="1872" spans="2:3">
      <c r="B1872" s="4" t="s">
        <v>3955</v>
      </c>
      <c r="C1872" s="4" t="s">
        <v>3956</v>
      </c>
    </row>
    <row r="1873" spans="2:3">
      <c r="B1873" s="4" t="s">
        <v>3957</v>
      </c>
      <c r="C1873" s="4" t="s">
        <v>3958</v>
      </c>
    </row>
    <row r="1874" spans="2:3">
      <c r="B1874" s="4" t="s">
        <v>3959</v>
      </c>
      <c r="C1874" s="4" t="s">
        <v>3960</v>
      </c>
    </row>
    <row r="1875" spans="2:3">
      <c r="B1875" s="4" t="s">
        <v>3961</v>
      </c>
      <c r="C1875" s="4" t="s">
        <v>3962</v>
      </c>
    </row>
    <row r="1876" spans="2:3">
      <c r="B1876" s="4" t="s">
        <v>3963</v>
      </c>
      <c r="C1876" s="4" t="s">
        <v>3964</v>
      </c>
    </row>
    <row r="1877" spans="2:3">
      <c r="B1877" s="4" t="s">
        <v>3965</v>
      </c>
      <c r="C1877" s="4" t="s">
        <v>3966</v>
      </c>
    </row>
    <row r="1878" spans="2:3">
      <c r="B1878" s="4" t="s">
        <v>3967</v>
      </c>
      <c r="C1878" s="4" t="s">
        <v>3968</v>
      </c>
    </row>
    <row r="1879" spans="2:3">
      <c r="B1879" s="4" t="s">
        <v>3969</v>
      </c>
      <c r="C1879" s="4" t="s">
        <v>3970</v>
      </c>
    </row>
    <row r="1880" spans="2:3">
      <c r="B1880" s="4" t="s">
        <v>3971</v>
      </c>
      <c r="C1880" s="4" t="s">
        <v>3972</v>
      </c>
    </row>
    <row r="1881" spans="2:3">
      <c r="B1881" s="4" t="s">
        <v>3973</v>
      </c>
      <c r="C1881" s="4" t="s">
        <v>3974</v>
      </c>
    </row>
    <row r="1882" spans="2:3">
      <c r="B1882" s="4" t="s">
        <v>3975</v>
      </c>
      <c r="C1882" s="4" t="s">
        <v>3976</v>
      </c>
    </row>
    <row r="1883" spans="2:3">
      <c r="B1883" s="4" t="s">
        <v>3977</v>
      </c>
      <c r="C1883" s="4" t="s">
        <v>3978</v>
      </c>
    </row>
    <row r="1884" spans="2:3">
      <c r="B1884" s="4" t="s">
        <v>3979</v>
      </c>
      <c r="C1884" s="4" t="s">
        <v>3980</v>
      </c>
    </row>
    <row r="1885" spans="2:3">
      <c r="B1885" s="4" t="s">
        <v>3981</v>
      </c>
      <c r="C1885" s="4" t="s">
        <v>3982</v>
      </c>
    </row>
    <row r="1886" spans="2:3">
      <c r="B1886" s="4" t="s">
        <v>3983</v>
      </c>
      <c r="C1886" s="4" t="s">
        <v>3984</v>
      </c>
    </row>
    <row r="1887" spans="2:3">
      <c r="B1887" s="4" t="s">
        <v>3985</v>
      </c>
      <c r="C1887" s="4" t="s">
        <v>3986</v>
      </c>
    </row>
    <row r="1888" spans="2:3">
      <c r="B1888" s="4" t="s">
        <v>3987</v>
      </c>
      <c r="C1888" s="4" t="s">
        <v>3988</v>
      </c>
    </row>
    <row r="1889" spans="2:3">
      <c r="B1889" s="4" t="s">
        <v>3989</v>
      </c>
      <c r="C1889" s="4" t="s">
        <v>3990</v>
      </c>
    </row>
    <row r="1890" spans="2:3">
      <c r="B1890" s="4" t="s">
        <v>3991</v>
      </c>
      <c r="C1890" s="4" t="s">
        <v>3992</v>
      </c>
    </row>
    <row r="1891" spans="2:3">
      <c r="B1891" s="4" t="s">
        <v>3993</v>
      </c>
      <c r="C1891" s="4" t="s">
        <v>3994</v>
      </c>
    </row>
    <row r="1892" spans="2:3">
      <c r="B1892" s="4" t="s">
        <v>3995</v>
      </c>
      <c r="C1892" s="4" t="s">
        <v>3996</v>
      </c>
    </row>
    <row r="1893" spans="2:3">
      <c r="B1893" s="4" t="s">
        <v>3997</v>
      </c>
      <c r="C1893" s="4" t="s">
        <v>3998</v>
      </c>
    </row>
    <row r="1894" spans="2:3">
      <c r="B1894" s="4" t="s">
        <v>3999</v>
      </c>
      <c r="C1894" s="4" t="s">
        <v>4000</v>
      </c>
    </row>
    <row r="1895" spans="2:3">
      <c r="B1895" s="4" t="s">
        <v>4001</v>
      </c>
      <c r="C1895" s="4" t="s">
        <v>4002</v>
      </c>
    </row>
    <row r="1896" spans="2:3">
      <c r="B1896" s="4" t="s">
        <v>4003</v>
      </c>
      <c r="C1896" s="4" t="s">
        <v>4004</v>
      </c>
    </row>
    <row r="1897" spans="2:3">
      <c r="B1897" s="4" t="s">
        <v>4005</v>
      </c>
      <c r="C1897" s="4" t="s">
        <v>4006</v>
      </c>
    </row>
    <row r="1898" spans="2:3">
      <c r="B1898" s="4" t="s">
        <v>4007</v>
      </c>
      <c r="C1898" s="4" t="s">
        <v>4008</v>
      </c>
    </row>
    <row r="1899" spans="2:3">
      <c r="B1899" s="4" t="s">
        <v>4009</v>
      </c>
      <c r="C1899" s="4" t="s">
        <v>4010</v>
      </c>
    </row>
    <row r="1900" spans="2:3">
      <c r="B1900" s="4" t="s">
        <v>4011</v>
      </c>
      <c r="C1900" s="4" t="s">
        <v>4012</v>
      </c>
    </row>
    <row r="1901" spans="2:3">
      <c r="B1901" s="4" t="s">
        <v>4013</v>
      </c>
      <c r="C1901" s="4" t="s">
        <v>4014</v>
      </c>
    </row>
    <row r="1902" spans="2:3">
      <c r="B1902" s="4" t="s">
        <v>4015</v>
      </c>
      <c r="C1902" s="4" t="s">
        <v>4016</v>
      </c>
    </row>
    <row r="1903" spans="2:3">
      <c r="B1903" s="4" t="s">
        <v>4017</v>
      </c>
      <c r="C1903" s="4" t="s">
        <v>4018</v>
      </c>
    </row>
    <row r="1904" spans="2:3">
      <c r="B1904" s="4" t="s">
        <v>4019</v>
      </c>
      <c r="C1904" s="4" t="s">
        <v>4020</v>
      </c>
    </row>
    <row r="1905" spans="2:3">
      <c r="B1905" s="4" t="s">
        <v>4021</v>
      </c>
      <c r="C1905" s="4" t="s">
        <v>4022</v>
      </c>
    </row>
    <row r="1906" spans="2:3">
      <c r="B1906" s="4" t="s">
        <v>4023</v>
      </c>
      <c r="C1906" s="4" t="s">
        <v>4024</v>
      </c>
    </row>
    <row r="1907" spans="2:3">
      <c r="B1907" s="4" t="s">
        <v>4025</v>
      </c>
      <c r="C1907" s="4" t="s">
        <v>4026</v>
      </c>
    </row>
    <row r="1908" spans="2:3">
      <c r="B1908" s="4" t="s">
        <v>4027</v>
      </c>
      <c r="C1908" s="4" t="s">
        <v>4028</v>
      </c>
    </row>
    <row r="1909" spans="2:3">
      <c r="B1909" s="4" t="s">
        <v>4029</v>
      </c>
      <c r="C1909" s="4" t="s">
        <v>4030</v>
      </c>
    </row>
    <row r="1910" spans="2:3">
      <c r="B1910" s="4" t="s">
        <v>4031</v>
      </c>
      <c r="C1910" s="4" t="s">
        <v>4032</v>
      </c>
    </row>
    <row r="1911" spans="2:3">
      <c r="B1911" s="4" t="s">
        <v>4033</v>
      </c>
      <c r="C1911" s="4" t="s">
        <v>4034</v>
      </c>
    </row>
    <row r="1912" spans="2:3">
      <c r="B1912" s="4" t="s">
        <v>4035</v>
      </c>
      <c r="C1912" s="4" t="s">
        <v>4036</v>
      </c>
    </row>
    <row r="1913" spans="2:3">
      <c r="B1913" s="4" t="s">
        <v>4037</v>
      </c>
      <c r="C1913" s="4" t="s">
        <v>4038</v>
      </c>
    </row>
    <row r="1914" spans="2:3">
      <c r="B1914" s="4" t="s">
        <v>4039</v>
      </c>
      <c r="C1914" s="4" t="s">
        <v>4040</v>
      </c>
    </row>
    <row r="1915" spans="2:3">
      <c r="B1915" s="4" t="s">
        <v>4041</v>
      </c>
      <c r="C1915" s="4" t="s">
        <v>4042</v>
      </c>
    </row>
    <row r="1916" spans="2:3">
      <c r="B1916" s="4" t="s">
        <v>4043</v>
      </c>
      <c r="C1916" s="4" t="s">
        <v>4044</v>
      </c>
    </row>
    <row r="1917" spans="2:3">
      <c r="B1917" s="4" t="s">
        <v>4045</v>
      </c>
      <c r="C1917" s="4" t="s">
        <v>4046</v>
      </c>
    </row>
    <row r="1918" spans="2:3">
      <c r="B1918" s="4" t="s">
        <v>1006</v>
      </c>
      <c r="C1918" s="4" t="s">
        <v>4047</v>
      </c>
    </row>
    <row r="1919" spans="2:3">
      <c r="B1919" s="4" t="s">
        <v>1007</v>
      </c>
      <c r="C1919" s="4" t="s">
        <v>4048</v>
      </c>
    </row>
    <row r="1920" spans="2:3">
      <c r="B1920" s="4" t="s">
        <v>1008</v>
      </c>
      <c r="C1920" s="4" t="s">
        <v>4049</v>
      </c>
    </row>
    <row r="1921" spans="2:3">
      <c r="B1921" s="4" t="s">
        <v>1009</v>
      </c>
      <c r="C1921" s="4" t="s">
        <v>4050</v>
      </c>
    </row>
    <row r="1922" spans="2:3">
      <c r="B1922" s="4" t="s">
        <v>1010</v>
      </c>
      <c r="C1922" s="4" t="s">
        <v>4051</v>
      </c>
    </row>
    <row r="1923" spans="2:3">
      <c r="B1923" s="4" t="s">
        <v>4052</v>
      </c>
      <c r="C1923" s="4" t="s">
        <v>4053</v>
      </c>
    </row>
    <row r="1924" spans="2:3">
      <c r="B1924" s="4" t="s">
        <v>4054</v>
      </c>
      <c r="C1924" s="4" t="s">
        <v>4055</v>
      </c>
    </row>
    <row r="1925" spans="2:3">
      <c r="B1925" s="4" t="s">
        <v>4056</v>
      </c>
      <c r="C1925" s="4" t="s">
        <v>4057</v>
      </c>
    </row>
    <row r="1926" spans="2:3">
      <c r="B1926" s="4" t="s">
        <v>4058</v>
      </c>
      <c r="C1926" s="4" t="s">
        <v>4059</v>
      </c>
    </row>
    <row r="1927" spans="2:3">
      <c r="B1927" s="4" t="s">
        <v>4060</v>
      </c>
      <c r="C1927" s="4" t="s">
        <v>4061</v>
      </c>
    </row>
    <row r="1928" spans="2:3">
      <c r="B1928" s="4" t="s">
        <v>4062</v>
      </c>
      <c r="C1928" s="4" t="s">
        <v>4063</v>
      </c>
    </row>
    <row r="1929" spans="2:3">
      <c r="B1929" s="4" t="s">
        <v>4064</v>
      </c>
      <c r="C1929" s="4" t="s">
        <v>4065</v>
      </c>
    </row>
    <row r="1930" spans="2:3">
      <c r="B1930" s="4" t="s">
        <v>4066</v>
      </c>
      <c r="C1930" s="4" t="s">
        <v>4067</v>
      </c>
    </row>
    <row r="1931" spans="2:3">
      <c r="B1931" s="4" t="s">
        <v>4068</v>
      </c>
      <c r="C1931" s="4" t="s">
        <v>4069</v>
      </c>
    </row>
    <row r="1932" spans="2:3">
      <c r="B1932" s="4" t="s">
        <v>4070</v>
      </c>
      <c r="C1932" s="4" t="s">
        <v>4071</v>
      </c>
    </row>
    <row r="1933" spans="2:3">
      <c r="B1933" s="4" t="s">
        <v>4072</v>
      </c>
      <c r="C1933" s="4" t="s">
        <v>4073</v>
      </c>
    </row>
    <row r="1934" spans="2:3">
      <c r="B1934" s="4" t="s">
        <v>4074</v>
      </c>
      <c r="C1934" s="4" t="s">
        <v>4075</v>
      </c>
    </row>
    <row r="1935" spans="2:3">
      <c r="B1935" s="4" t="s">
        <v>4076</v>
      </c>
      <c r="C1935" s="4" t="s">
        <v>4077</v>
      </c>
    </row>
    <row r="1936" spans="2:3">
      <c r="B1936" s="4" t="s">
        <v>4078</v>
      </c>
      <c r="C1936" s="4" t="s">
        <v>4079</v>
      </c>
    </row>
    <row r="1937" spans="2:3">
      <c r="B1937" s="4" t="s">
        <v>4080</v>
      </c>
      <c r="C1937" s="4" t="s">
        <v>4081</v>
      </c>
    </row>
    <row r="1938" spans="2:3">
      <c r="B1938" s="4" t="s">
        <v>4082</v>
      </c>
      <c r="C1938" s="4" t="s">
        <v>4083</v>
      </c>
    </row>
    <row r="1939" spans="2:3">
      <c r="B1939" s="4" t="s">
        <v>4084</v>
      </c>
      <c r="C1939" s="4" t="s">
        <v>4085</v>
      </c>
    </row>
    <row r="1940" spans="2:3">
      <c r="B1940" s="4" t="s">
        <v>775</v>
      </c>
      <c r="C1940" s="4" t="s">
        <v>4086</v>
      </c>
    </row>
    <row r="1941" spans="2:3">
      <c r="B1941" s="4" t="s">
        <v>776</v>
      </c>
      <c r="C1941" s="4" t="s">
        <v>4087</v>
      </c>
    </row>
    <row r="1942" spans="2:3">
      <c r="B1942" s="4" t="s">
        <v>777</v>
      </c>
      <c r="C1942" s="4" t="s">
        <v>4088</v>
      </c>
    </row>
    <row r="1943" spans="2:3">
      <c r="B1943" s="4" t="s">
        <v>778</v>
      </c>
      <c r="C1943" s="4" t="s">
        <v>4089</v>
      </c>
    </row>
    <row r="1944" spans="2:3">
      <c r="B1944" s="4" t="s">
        <v>4090</v>
      </c>
      <c r="C1944" s="4" t="s">
        <v>4091</v>
      </c>
    </row>
    <row r="1945" spans="2:3">
      <c r="B1945" s="4" t="s">
        <v>4092</v>
      </c>
      <c r="C1945" s="4" t="s">
        <v>4093</v>
      </c>
    </row>
    <row r="1946" spans="2:3">
      <c r="B1946" s="4" t="s">
        <v>813</v>
      </c>
      <c r="C1946" s="4" t="s">
        <v>4094</v>
      </c>
    </row>
    <row r="1947" spans="2:3">
      <c r="B1947" s="4" t="s">
        <v>4095</v>
      </c>
      <c r="C1947" s="4" t="s">
        <v>1348</v>
      </c>
    </row>
    <row r="1948" spans="2:3">
      <c r="B1948" s="4" t="s">
        <v>4096</v>
      </c>
      <c r="C1948" s="4" t="s">
        <v>1349</v>
      </c>
    </row>
    <row r="1949" spans="2:3">
      <c r="B1949" s="4" t="s">
        <v>823</v>
      </c>
      <c r="C1949" s="4" t="s">
        <v>1350</v>
      </c>
    </row>
    <row r="1950" spans="2:3">
      <c r="B1950" s="4" t="s">
        <v>824</v>
      </c>
      <c r="C1950" s="4" t="s">
        <v>1351</v>
      </c>
    </row>
    <row r="1951" spans="2:3">
      <c r="B1951" s="4" t="s">
        <v>825</v>
      </c>
      <c r="C1951" s="4" t="s">
        <v>1352</v>
      </c>
    </row>
    <row r="1952" spans="2:3">
      <c r="B1952" s="4" t="s">
        <v>826</v>
      </c>
      <c r="C1952" s="4" t="s">
        <v>1353</v>
      </c>
    </row>
    <row r="1953" spans="2:3">
      <c r="B1953" s="4" t="s">
        <v>4097</v>
      </c>
      <c r="C1953" s="4" t="s">
        <v>4098</v>
      </c>
    </row>
    <row r="1954" spans="2:3">
      <c r="B1954" s="4" t="s">
        <v>4099</v>
      </c>
      <c r="C1954" s="4" t="s">
        <v>4100</v>
      </c>
    </row>
    <row r="1955" spans="2:3">
      <c r="B1955" s="4" t="s">
        <v>827</v>
      </c>
      <c r="C1955" s="4" t="s">
        <v>4101</v>
      </c>
    </row>
    <row r="1956" spans="2:3">
      <c r="B1956" s="4" t="s">
        <v>828</v>
      </c>
      <c r="C1956" s="4" t="s">
        <v>4102</v>
      </c>
    </row>
    <row r="1957" spans="2:3">
      <c r="B1957" s="4" t="s">
        <v>829</v>
      </c>
      <c r="C1957" s="4" t="s">
        <v>4103</v>
      </c>
    </row>
    <row r="1958" spans="2:3">
      <c r="B1958" s="4" t="s">
        <v>4104</v>
      </c>
      <c r="C1958" s="4" t="s">
        <v>4105</v>
      </c>
    </row>
    <row r="1959" spans="2:3">
      <c r="B1959" s="4" t="s">
        <v>830</v>
      </c>
      <c r="C1959" s="4" t="s">
        <v>4106</v>
      </c>
    </row>
    <row r="1960" spans="2:3">
      <c r="B1960" s="4" t="s">
        <v>831</v>
      </c>
      <c r="C1960" s="4" t="s">
        <v>4107</v>
      </c>
    </row>
    <row r="1961" spans="2:3">
      <c r="B1961" s="4" t="s">
        <v>832</v>
      </c>
      <c r="C1961" s="4" t="s">
        <v>4108</v>
      </c>
    </row>
    <row r="1962" spans="2:3">
      <c r="B1962" s="4" t="s">
        <v>833</v>
      </c>
      <c r="C1962" s="4" t="s">
        <v>4109</v>
      </c>
    </row>
    <row r="1963" spans="2:3">
      <c r="B1963" s="4" t="s">
        <v>4110</v>
      </c>
      <c r="C1963" s="4" t="s">
        <v>4111</v>
      </c>
    </row>
    <row r="1964" spans="2:3">
      <c r="B1964" s="4" t="s">
        <v>834</v>
      </c>
      <c r="C1964" s="4" t="s">
        <v>4112</v>
      </c>
    </row>
    <row r="1965" spans="2:3">
      <c r="B1965" s="4" t="s">
        <v>1354</v>
      </c>
      <c r="C1965" s="4" t="s">
        <v>4113</v>
      </c>
    </row>
    <row r="1966" spans="2:3">
      <c r="B1966" s="4" t="s">
        <v>4114</v>
      </c>
      <c r="C1966" s="4" t="s">
        <v>1161</v>
      </c>
    </row>
    <row r="1967" spans="2:3">
      <c r="B1967" s="4" t="s">
        <v>4115</v>
      </c>
      <c r="C1967" s="4" t="s">
        <v>1162</v>
      </c>
    </row>
    <row r="1968" spans="2:3">
      <c r="B1968" s="4" t="s">
        <v>1163</v>
      </c>
      <c r="C1968" s="4" t="s">
        <v>1164</v>
      </c>
    </row>
    <row r="1969" spans="2:3">
      <c r="B1969" s="4" t="s">
        <v>1165</v>
      </c>
      <c r="C1969" s="4" t="s">
        <v>1166</v>
      </c>
    </row>
    <row r="1970" spans="2:3">
      <c r="B1970" s="4" t="s">
        <v>1167</v>
      </c>
      <c r="C1970" s="4" t="s">
        <v>1168</v>
      </c>
    </row>
    <row r="1971" spans="2:3">
      <c r="B1971" s="4" t="s">
        <v>4116</v>
      </c>
      <c r="C1971" s="4" t="s">
        <v>1190</v>
      </c>
    </row>
    <row r="1972" spans="2:3">
      <c r="B1972" s="4" t="s">
        <v>4117</v>
      </c>
      <c r="C1972" s="4" t="s">
        <v>1191</v>
      </c>
    </row>
    <row r="1973" spans="2:3">
      <c r="B1973" s="4" t="s">
        <v>1192</v>
      </c>
      <c r="C1973" s="4" t="s">
        <v>1193</v>
      </c>
    </row>
    <row r="1974" spans="2:3">
      <c r="B1974" s="4" t="s">
        <v>1194</v>
      </c>
      <c r="C1974" s="4" t="s">
        <v>4118</v>
      </c>
    </row>
    <row r="1975" spans="2:3">
      <c r="B1975" s="4" t="s">
        <v>1195</v>
      </c>
      <c r="C1975" s="4" t="s">
        <v>4119</v>
      </c>
    </row>
    <row r="1976" spans="2:3">
      <c r="B1976" s="4" t="s">
        <v>1196</v>
      </c>
      <c r="C1976" s="4" t="s">
        <v>4120</v>
      </c>
    </row>
    <row r="1977" spans="2:3">
      <c r="B1977" s="4" t="s">
        <v>1334</v>
      </c>
      <c r="C1977" s="4" t="s">
        <v>1335</v>
      </c>
    </row>
    <row r="1978" spans="2:3">
      <c r="B1978" s="4" t="s">
        <v>814</v>
      </c>
      <c r="C1978" s="4" t="s">
        <v>815</v>
      </c>
    </row>
    <row r="1979" spans="2:3">
      <c r="B1979" s="4" t="s">
        <v>816</v>
      </c>
      <c r="C1979" s="4" t="s">
        <v>817</v>
      </c>
    </row>
    <row r="1980" spans="2:3">
      <c r="B1980" s="4" t="s">
        <v>819</v>
      </c>
      <c r="C1980" s="4" t="s">
        <v>4121</v>
      </c>
    </row>
    <row r="1981" spans="2:3">
      <c r="B1981" s="4" t="s">
        <v>820</v>
      </c>
      <c r="C1981" s="4" t="s">
        <v>4122</v>
      </c>
    </row>
    <row r="1982" spans="2:3">
      <c r="B1982" s="4" t="s">
        <v>821</v>
      </c>
      <c r="C1982" s="4" t="s">
        <v>4123</v>
      </c>
    </row>
    <row r="1983" spans="2:3">
      <c r="B1983" s="4" t="s">
        <v>4124</v>
      </c>
      <c r="C1983" s="4" t="s">
        <v>4125</v>
      </c>
    </row>
    <row r="1984" spans="2:3">
      <c r="B1984" s="4" t="s">
        <v>4126</v>
      </c>
      <c r="C1984" s="4" t="s">
        <v>4127</v>
      </c>
    </row>
    <row r="1985" spans="2:3">
      <c r="B1985" s="4" t="s">
        <v>4128</v>
      </c>
      <c r="C1985" s="4" t="s">
        <v>4129</v>
      </c>
    </row>
    <row r="1986" spans="2:3">
      <c r="B1986" s="4" t="s">
        <v>4130</v>
      </c>
      <c r="C1986" s="4" t="s">
        <v>4131</v>
      </c>
    </row>
    <row r="1987" spans="2:3">
      <c r="B1987" s="4" t="s">
        <v>4132</v>
      </c>
      <c r="C1987" s="4" t="s">
        <v>4133</v>
      </c>
    </row>
    <row r="1988" spans="2:3">
      <c r="B1988" s="4" t="s">
        <v>4134</v>
      </c>
      <c r="C1988" s="4" t="s">
        <v>4135</v>
      </c>
    </row>
    <row r="1989" spans="2:3">
      <c r="B1989" s="4" t="s">
        <v>4136</v>
      </c>
      <c r="C1989" s="4" t="s">
        <v>4137</v>
      </c>
    </row>
    <row r="1990" spans="2:3">
      <c r="B1990" s="4" t="s">
        <v>4138</v>
      </c>
      <c r="C1990" s="4" t="s">
        <v>4139</v>
      </c>
    </row>
    <row r="1991" spans="2:3">
      <c r="B1991" s="4" t="s">
        <v>1160</v>
      </c>
      <c r="C1991" s="4" t="s">
        <v>4140</v>
      </c>
    </row>
    <row r="1992" spans="2:3">
      <c r="B1992" s="4" t="s">
        <v>1169</v>
      </c>
      <c r="C1992" s="4" t="s">
        <v>4141</v>
      </c>
    </row>
    <row r="1993" spans="2:3">
      <c r="B1993" s="4" t="s">
        <v>1170</v>
      </c>
      <c r="C1993" s="4" t="s">
        <v>4142</v>
      </c>
    </row>
    <row r="1994" spans="2:3">
      <c r="B1994" s="4" t="s">
        <v>4143</v>
      </c>
      <c r="C1994" s="4" t="s">
        <v>4144</v>
      </c>
    </row>
    <row r="1995" spans="2:3">
      <c r="B1995" s="4" t="s">
        <v>1172</v>
      </c>
      <c r="C1995" s="4" t="s">
        <v>4145</v>
      </c>
    </row>
    <row r="1996" spans="2:3">
      <c r="B1996" s="4" t="s">
        <v>1173</v>
      </c>
      <c r="C1996" s="4" t="s">
        <v>4146</v>
      </c>
    </row>
    <row r="1997" spans="2:3">
      <c r="B1997" s="4" t="s">
        <v>1174</v>
      </c>
      <c r="C1997" s="4" t="s">
        <v>4147</v>
      </c>
    </row>
    <row r="1998" spans="2:3">
      <c r="B1998" s="4" t="s">
        <v>1175</v>
      </c>
      <c r="C1998" s="4" t="s">
        <v>4148</v>
      </c>
    </row>
    <row r="1999" spans="2:3">
      <c r="B1999" s="4" t="s">
        <v>1176</v>
      </c>
      <c r="C1999" s="4" t="s">
        <v>4149</v>
      </c>
    </row>
    <row r="2000" spans="2:3">
      <c r="B2000" s="4" t="s">
        <v>1177</v>
      </c>
      <c r="C2000" s="4" t="s">
        <v>4150</v>
      </c>
    </row>
    <row r="2001" spans="2:3">
      <c r="B2001" s="4" t="s">
        <v>1178</v>
      </c>
      <c r="C2001" s="4" t="s">
        <v>4151</v>
      </c>
    </row>
    <row r="2002" spans="2:3">
      <c r="B2002" s="4" t="s">
        <v>1179</v>
      </c>
      <c r="C2002" s="4" t="s">
        <v>4152</v>
      </c>
    </row>
    <row r="2003" spans="2:3">
      <c r="B2003" s="4" t="s">
        <v>1180</v>
      </c>
      <c r="C2003" s="4" t="s">
        <v>4153</v>
      </c>
    </row>
    <row r="2004" spans="2:3">
      <c r="B2004" s="4" t="s">
        <v>1181</v>
      </c>
      <c r="C2004" s="4" t="s">
        <v>4154</v>
      </c>
    </row>
    <row r="2005" spans="2:3">
      <c r="B2005" s="4" t="s">
        <v>4155</v>
      </c>
      <c r="C2005" s="4" t="s">
        <v>4156</v>
      </c>
    </row>
    <row r="2006" spans="2:3">
      <c r="B2006" s="4" t="s">
        <v>4157</v>
      </c>
      <c r="C2006" s="4" t="s">
        <v>4158</v>
      </c>
    </row>
    <row r="2007" spans="2:3">
      <c r="B2007" s="4" t="s">
        <v>1183</v>
      </c>
      <c r="C2007" s="4" t="s">
        <v>4159</v>
      </c>
    </row>
    <row r="2008" spans="2:3">
      <c r="B2008" s="4" t="s">
        <v>1184</v>
      </c>
      <c r="C2008" s="4" t="s">
        <v>4160</v>
      </c>
    </row>
    <row r="2009" spans="2:3">
      <c r="B2009" s="4" t="s">
        <v>1185</v>
      </c>
      <c r="C2009" s="4" t="s">
        <v>4161</v>
      </c>
    </row>
    <row r="2010" spans="2:3">
      <c r="B2010" s="4" t="s">
        <v>1186</v>
      </c>
      <c r="C2010" s="4" t="s">
        <v>4162</v>
      </c>
    </row>
    <row r="2011" spans="2:3">
      <c r="B2011" s="4" t="s">
        <v>1187</v>
      </c>
      <c r="C2011" s="4" t="s">
        <v>4163</v>
      </c>
    </row>
    <row r="2012" spans="2:3">
      <c r="B2012" s="4" t="s">
        <v>1188</v>
      </c>
      <c r="C2012" s="4" t="s">
        <v>4164</v>
      </c>
    </row>
    <row r="2013" spans="2:3">
      <c r="B2013" s="4" t="s">
        <v>1189</v>
      </c>
      <c r="C2013" s="4" t="s">
        <v>4165</v>
      </c>
    </row>
  </sheetData>
  <autoFilter ref="A3:C3"/>
  <phoneticPr fontId="2"/>
  <pageMargins left="0.7" right="0.7" top="0.75" bottom="0.75" header="0.3" footer="0.3"/>
  <pageSetup paperSize="9" orientation="portrait" horizontalDpi="360" verticalDpi="36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>
    <Revision xmlns="5c538cdb-cfa7-41d6-bf63-67c3d0f618ce">D(draft)</Revision>
    <_x4e8b__x696d__x4f53_ xmlns="5c538cdb-cfa7-41d6-bf63-67c3d0f618ce">
      <Value>CIJ</Value>
      <Value>BIJ</Value>
      <Value>LFP</Value>
      <Value>LP</Value>
      <Value>BS</Value>
    </_x4e8b__x696d__x4f53_>
    <_x958b__x767a__x540d__x79f0_ xmlns="5c538cdb-cfa7-41d6-bf63-67c3d0f618ce">Grow-FPD/FPG/FPJ, Naiad6-MD, Nicole10-MC/MS, Next3-MDL, Hiroshige-24/24-G/24D/24D-G/36D, Tagawa2</_x958b__x767a__x540d__x79f0_>
    <_x958b__x767a__x540d__x79f0_2 xmlns="5c538cdb-cfa7-41d6-bf63-67c3d0f618c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92EC953E70FA4347B0BE501B33FFA69F" ma:contentTypeVersion="4" ma:contentTypeDescription="新しいドキュメントを作成します。" ma:contentTypeScope="" ma:versionID="a8ee00aa9e02b7aef970c6b8cd59de7d">
  <xsd:schema xmlns:xsd="http://www.w3.org/2001/XMLSchema" xmlns:xs="http://www.w3.org/2001/XMLSchema" xmlns:p="http://schemas.microsoft.com/office/2006/metadata/properties" xmlns:ns2="5c538cdb-cfa7-41d6-bf63-67c3d0f618ce" targetNamespace="http://schemas.microsoft.com/office/2006/metadata/properties" ma:root="true" ma:fieldsID="e9503e318ff2762231929d608ced6df0" ns2:_="">
    <xsd:import namespace="5c538cdb-cfa7-41d6-bf63-67c3d0f618ce"/>
    <xsd:element name="properties">
      <xsd:complexType>
        <xsd:sequence>
          <xsd:element name="documentManagement">
            <xsd:complexType>
              <xsd:all>
                <xsd:element ref="ns2:Revision"/>
                <xsd:element ref="ns2:_x4e8b__x696d__x4f53_" minOccurs="0"/>
                <xsd:element ref="ns2:_x958b__x767a__x540d__x79f0_"/>
                <xsd:element ref="ns2:_x958b__x767a__x540d__x79f0_2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c538cdb-cfa7-41d6-bf63-67c3d0f618ce" elementFormDefault="qualified">
    <xsd:import namespace="http://schemas.microsoft.com/office/2006/documentManagement/types"/>
    <xsd:import namespace="http://schemas.microsoft.com/office/infopath/2007/PartnerControls"/>
    <xsd:element name="Revision" ma:index="8" ma:displayName="Revision" ma:description="バージョンを記載。ドラフトの場合は:draftXXを記載" ma:internalName="Revision">
      <xsd:simpleType>
        <xsd:restriction base="dms:Text">
          <xsd:maxLength value="10"/>
        </xsd:restriction>
      </xsd:simpleType>
    </xsd:element>
    <xsd:element name="_x4e8b__x696d__x4f53_" ma:index="9" nillable="true" ma:displayName="事業体" ma:description="対象の事業体を選択" ma:internalName="_x4e8b__x696d__x4f53_" ma:requiredMultiChoice="true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CIJ"/>
                    <xsd:enumeration value="BIJ"/>
                    <xsd:enumeration value="LFP"/>
                    <xsd:enumeration value="LP"/>
                    <xsd:enumeration value="BS"/>
                  </xsd:restriction>
                </xsd:simpleType>
              </xsd:element>
            </xsd:sequence>
          </xsd:extension>
        </xsd:complexContent>
      </xsd:complexType>
    </xsd:element>
    <xsd:element name="_x958b__x767a__x540d__x79f0_" ma:index="10" ma:displayName="開発名称" ma:description="実装仕様書に含まれている機種のニックネームを,区切りで入力(設通の開発名称(ハード)部分)" ma:indexed="true" ma:internalName="_x958b__x767a__x540d__x79f0_">
      <xsd:simpleType>
        <xsd:restriction base="dms:Text">
          <xsd:maxLength value="255"/>
        </xsd:restriction>
      </xsd:simpleType>
    </xsd:element>
    <xsd:element name="_x958b__x767a__x540d__x79f0_2" ma:index="11" nillable="true" ma:displayName="開発名称2" ma:description="開発名称で入力しきれなかった場合に活用します。" ma:internalName="_x958b__x767a__x540d__x79f0_2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6B0F416-DC31-4F9C-A915-D4674E54CE8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84C3C4D-F950-4910-BF27-3A26845D7AFE}">
  <ds:schemaRefs>
    <ds:schemaRef ds:uri="http://purl.org/dc/terms/"/>
    <ds:schemaRef ds:uri="5c538cdb-cfa7-41d6-bf63-67c3d0f618ce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ED48F4E3-E842-49A3-9599-AE3E1132C96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c538cdb-cfa7-41d6-bf63-67c3d0f618c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55eb38c6-339d-41fc-9871-70d6fbd07fc1}" enabled="1" method="Privileged" siteId="{3ce358ea-700e-4f0f-bb37-fd0b7c21366c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集計表</vt:lpstr>
      <vt:lpstr>Oid</vt:lpstr>
    </vt:vector>
  </TitlesOfParts>
  <Company>SEIKO EPSON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FY21 BIJ CIJ SCN LP LFP LABEL MIB実装仕様書</dc:title>
  <dc:creator>作成者</dc:creator>
  <cp:lastModifiedBy>EVALUASI</cp:lastModifiedBy>
  <cp:lastPrinted>2022-04-13T07:20:52Z</cp:lastPrinted>
  <dcterms:created xsi:type="dcterms:W3CDTF">2010-02-16T03:37:50Z</dcterms:created>
  <dcterms:modified xsi:type="dcterms:W3CDTF">2026-02-26T01:37:19Z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0x01010092EC953E70FA4347B0BE501B33FFA69F</vt:lpwstr>
  </property>
</Properties>
</file>